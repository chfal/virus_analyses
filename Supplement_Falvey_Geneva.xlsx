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utgersconnect-my.sharepoint.com/personal/chf29_camden_rutgers_edu/Documents/ATDV_stuff/"/>
    </mc:Choice>
  </mc:AlternateContent>
  <xr:revisionPtr revIDLastSave="17" documentId="13_ncr:1_{D84D2029-7EB9-4B9E-8708-C0B0B3846125}" xr6:coauthVersionLast="47" xr6:coauthVersionMax="47" xr10:uidLastSave="{96BCED16-03F4-454C-8EA8-CAEE447B1C28}"/>
  <bookViews>
    <workbookView xWindow="-107" yWindow="-107" windowWidth="20847" windowHeight="13260" firstSheet="9" activeTab="12" xr2:uid="{33DC1FE9-8150-4FCC-ACDD-128D98268844}"/>
  </bookViews>
  <sheets>
    <sheet name="1_Genbank_Accessions" sheetId="1" r:id="rId1"/>
    <sheet name="2_Clean_Genbank_Table" sheetId="12" r:id="rId2"/>
    <sheet name="3_Coverage_8054_8158" sheetId="2" r:id="rId3"/>
    <sheet name="3_Orthogroups_Genecount_Clades" sheetId="7" r:id="rId4"/>
    <sheet name="4_All_Blasted_Orthogroups" sheetId="8" r:id="rId5"/>
    <sheet name="5_8054_8158_Orthogroups_Blast" sheetId="10" r:id="rId6"/>
    <sheet name="6_First_23_Orthogroups" sheetId="11" r:id="rId7"/>
    <sheet name="7_Partition_Specific_Values" sheetId="13" r:id="rId8"/>
    <sheet name="8_Orthogroups_Genecount Raw" sheetId="3" r:id="rId9"/>
    <sheet name="9_Orthogroups_Raw" sheetId="5" r:id="rId10"/>
    <sheet name="10_Snp_Differences_8054" sheetId="14" r:id="rId11"/>
    <sheet name="11_Snp_Differences_8158" sheetId="15" r:id="rId12"/>
    <sheet name="R2_Values" sheetId="16" r:id="rId13"/>
  </sheets>
  <definedNames>
    <definedName name="_xlnm._FilterDatabase" localSheetId="0" hidden="1">'1_Genbank_Accessions'!$A$1:$F$25</definedName>
    <definedName name="_xlnm._FilterDatabase" localSheetId="1" hidden="1">'2_Clean_Genbank_Table'!$A$1:$C$36</definedName>
    <definedName name="_xlnm._FilterDatabase" localSheetId="7" hidden="1">'7_Partition_Specific_Values'!$A$1:$D$24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6" l="1"/>
  <c r="B12" i="16"/>
  <c r="B10" i="16"/>
  <c r="B9" i="16"/>
  <c r="B8" i="16"/>
  <c r="B7" i="16"/>
  <c r="B6" i="16"/>
  <c r="B5" i="16"/>
  <c r="B4" i="16"/>
  <c r="B2" i="16"/>
</calcChain>
</file>

<file path=xl/sharedStrings.xml><?xml version="1.0" encoding="utf-8"?>
<sst xmlns="http://schemas.openxmlformats.org/spreadsheetml/2006/main" count="2419" uniqueCount="1780">
  <si>
    <t>&gt;JN252129_1_Bat_adenovirus_2</t>
  </si>
  <si>
    <t>&gt;MT050041_1_Bearded_dragon_adenovirus_1</t>
  </si>
  <si>
    <t>&gt;MN901942_2_Bovine_adenovirus_7</t>
  </si>
  <si>
    <t>&gt;U77082_1_Canine_adenovirus_type_2</t>
  </si>
  <si>
    <t>&gt;MK227353_1_MAG_Corella_adenovirus_1</t>
  </si>
  <si>
    <t>&gt;OP405339_1_Deer_atadenovirus_A</t>
  </si>
  <si>
    <t>&gt;KJ452173_1_Duck_adenovirus_1</t>
  </si>
  <si>
    <t>&gt;OK283055_1_Fowl_aviadenovirus_B</t>
  </si>
  <si>
    <t>&gt;AF224336.1_Frog_adenovirus_1</t>
  </si>
  <si>
    <t>&gt;NC_001460_1_Human_adenovirus_A</t>
  </si>
  <si>
    <t>&gt;NC_001405.1 Human adenovirus C, complete genome</t>
  </si>
  <si>
    <t>&gt;KJ156523_1_Lizard_adenovirus_2</t>
  </si>
  <si>
    <t>&gt;KY468406_1_Odocoileus_adenovirus_1</t>
  </si>
  <si>
    <t>&gt;U40839.3 Ovine adenovirus 7, complete genome</t>
  </si>
  <si>
    <t>&gt;KJ675568_1_Psittacine_adenovirus_3</t>
  </si>
  <si>
    <t>&gt;NC_076126_1_Red_eared_slider_adenovirus_1_partial</t>
  </si>
  <si>
    <t>&gt;DQ106414_1_Snake_adenovirus_1_partial</t>
  </si>
  <si>
    <t>&gt;OL692338_1_Tern_atadenovirus_1</t>
  </si>
  <si>
    <t>&gt;MT603863.1 Turkey adenovirus 3 isolate H.E.Vac - Vaccine, complete genome</t>
  </si>
  <si>
    <t>&gt;MK101347_1_White_sturgeon_adenovirus_1</t>
  </si>
  <si>
    <t>https://pubmed.ncbi.nlm.nih.gov/8659111/</t>
  </si>
  <si>
    <t>Vrati et al., 1996</t>
  </si>
  <si>
    <t>https://www.ncbi.nlm.nih.gov/nuccore/U40839</t>
  </si>
  <si>
    <t>https://www.ncbi.nlm.nih.gov/nucleotide/JN252129</t>
  </si>
  <si>
    <t>https://pmc.ncbi.nlm.nih.gov/articles/PMC3264355/</t>
  </si>
  <si>
    <t>Kohl et al., 2012</t>
  </si>
  <si>
    <t>https://www.ncbi.nlm.nih.gov/nuccore/1840206481</t>
  </si>
  <si>
    <t>Penzes et al., 2020</t>
  </si>
  <si>
    <t>https://www.ncbi.nlm.nih.gov/nuccore/2047428536</t>
  </si>
  <si>
    <t>Paim et al., 2020</t>
  </si>
  <si>
    <t>https://www.sciencedirect.com/science/article/pii/S1567134819301947?via%3Dihub</t>
  </si>
  <si>
    <t>Doszpoly et al., 2019</t>
  </si>
  <si>
    <t>https://www.ncbi.nlm.nih.gov/datasets/genome/GCF_006400995/</t>
  </si>
  <si>
    <t>Mastadenovirus</t>
  </si>
  <si>
    <t>Atadenovirus</t>
  </si>
  <si>
    <t>Ichtadenovirus</t>
  </si>
  <si>
    <t>Aviadenovirus</t>
  </si>
  <si>
    <t>https://pmc.ncbi.nlm.nih.gov/articles/PMC8781740/</t>
  </si>
  <si>
    <t>Matsvay et al., 2020</t>
  </si>
  <si>
    <t>Farkas 2008</t>
  </si>
  <si>
    <t>https://pubmed.ncbi.nlm.nih.gov/18166240/</t>
  </si>
  <si>
    <t>&gt;OR233592.1 Barthadenovirus zootherae isolate cd_2020_s1, complete genome</t>
  </si>
  <si>
    <t>Zheng et al., 2024</t>
  </si>
  <si>
    <t>https://www.ncbi.nlm.nih.gov/nuccore/OR233592.1?report=fasta</t>
  </si>
  <si>
    <t>&gt;MT674683.1 Barthadenovirus mellis isolate AU2787, complete genome</t>
  </si>
  <si>
    <t>Athukorala et al., 2022</t>
  </si>
  <si>
    <t>https://www.ncbi.nlm.nih.gov/nuccore/1915421640</t>
  </si>
  <si>
    <t>To et al., 2014</t>
  </si>
  <si>
    <t>https://www.ncbi.nlm.nih.gov/nuccore/730229474</t>
  </si>
  <si>
    <t>Penzes et al.,2014</t>
  </si>
  <si>
    <t>https://www.ncbi.nlm.nih.gov/nucleotide/KJ156523</t>
  </si>
  <si>
    <t>https://www.ncbi.nlm.nih.gov/nuccore/1233688378</t>
  </si>
  <si>
    <t>Miller et al.</t>
  </si>
  <si>
    <t>https://www.ncbi.nlm.nih.gov/nuccore/9626621</t>
  </si>
  <si>
    <t>Sprengel et al.</t>
  </si>
  <si>
    <t>Siadenovirus</t>
  </si>
  <si>
    <t>Davison et al</t>
  </si>
  <si>
    <t>https://www.ncbi.nlm.nih.gov/nuccore/AF224336.1</t>
  </si>
  <si>
    <t>https://pmc.ncbi.nlm.nih.gov/articles/PMC8880664/</t>
  </si>
  <si>
    <t>https://www.ncbi.nlm.nih.gov/nuccore/2208145359</t>
  </si>
  <si>
    <t>https://www.ncbi.nlm.nih.gov/nuccore/736588252</t>
  </si>
  <si>
    <t>Kajan et al</t>
  </si>
  <si>
    <t>https://www.ncbi.nlm.nih.gov/nuccore/2484506088</t>
  </si>
  <si>
    <t>Domshy et al.</t>
  </si>
  <si>
    <t>https://www.ncbi.nlm.nih.gov/nuccore/MK227353</t>
  </si>
  <si>
    <t>Bat</t>
  </si>
  <si>
    <t>Bovine</t>
  </si>
  <si>
    <t>Deer</t>
  </si>
  <si>
    <t>Duck</t>
  </si>
  <si>
    <t>Fowl</t>
  </si>
  <si>
    <t>complete</t>
  </si>
  <si>
    <t>Lizard</t>
  </si>
  <si>
    <t>Odocoileus</t>
  </si>
  <si>
    <t>Psittacine</t>
  </si>
  <si>
    <t>Tern</t>
  </si>
  <si>
    <t>Canine</t>
  </si>
  <si>
    <t>Human</t>
  </si>
  <si>
    <t>Snake</t>
  </si>
  <si>
    <t>Turkey</t>
  </si>
  <si>
    <t>Bearded Dragon</t>
  </si>
  <si>
    <t>White Sturgeon</t>
  </si>
  <si>
    <t>Corella</t>
  </si>
  <si>
    <t>Frog</t>
  </si>
  <si>
    <t>Red Eared Slider</t>
  </si>
  <si>
    <t>Thrush</t>
  </si>
  <si>
    <t>Wallaby</t>
  </si>
  <si>
    <t>Passerine Adenovirus</t>
  </si>
  <si>
    <t>&gt;OQ792214.1 MAG: Agile wallaby atadenovirus 1 isolate GOP3/1, partial genome</t>
  </si>
  <si>
    <t>Okoh et al</t>
  </si>
  <si>
    <t>https://www.ncbi.nlm.nih.gov/nuccore/OQ792214.1?report=fasta</t>
  </si>
  <si>
    <t>https://www.ncbi.nlm.nih.gov/nuccore/NC_076126</t>
  </si>
  <si>
    <t>Testadenovirus</t>
  </si>
  <si>
    <t>https://www.ncbi.nlm.nih.gov/nuccore/76574740</t>
  </si>
  <si>
    <t>https://www.ncbi.nlm.nih.gov/nuccore/2186391879</t>
  </si>
  <si>
    <t>https://www.ncbi.nlm.nih.gov/nuccore/MT603863.1</t>
  </si>
  <si>
    <t>https://www.ncbi.nlm.nih.gov/nuccore/Y09598.1</t>
  </si>
  <si>
    <t>&gt;Y09598.1 Avian adenovirus EDS complete genome</t>
  </si>
  <si>
    <t>Sequence Name</t>
  </si>
  <si>
    <t>Species</t>
  </si>
  <si>
    <t>Clade</t>
  </si>
  <si>
    <t>NCBI Link</t>
  </si>
  <si>
    <t>Paper Link</t>
  </si>
  <si>
    <t>Citation</t>
  </si>
  <si>
    <t>Chinstrap Penguin</t>
  </si>
  <si>
    <t>https://www.ncbi.nlm.nih.gov/nuccore/KP144329.1</t>
  </si>
  <si>
    <t>&gt;KP144329.1 Chinstrap penguin adenovirus 2 isolate CSPAdV_2, complete genome</t>
  </si>
  <si>
    <t>Soft Shelled Turtle</t>
  </si>
  <si>
    <t>&gt;PQ083072.1 Chinese soft-shelled turtle adenovirus 1 isolate zg, complete genome</t>
  </si>
  <si>
    <t>https://www.ncbi.nlm.nih.gov/nuccore/PQ083072.1</t>
  </si>
  <si>
    <t>Tian et al</t>
  </si>
  <si>
    <t>Careful</t>
  </si>
  <si>
    <t>Metaviral</t>
  </si>
  <si>
    <t>Method</t>
  </si>
  <si>
    <t>Sample</t>
  </si>
  <si>
    <t>Depth of Coverage</t>
  </si>
  <si>
    <t>Breadth of Coverage</t>
  </si>
  <si>
    <t>Number of Reads Mapped</t>
  </si>
  <si>
    <t>Proportion of Reads Mapped</t>
  </si>
  <si>
    <t>Length of Scaffold</t>
  </si>
  <si>
    <t>https://www.ncbi.nlm.nih.gov/nuccore/MT138098.1?report=fasta</t>
  </si>
  <si>
    <t>Blue throated parrot</t>
  </si>
  <si>
    <t>&gt;MT138098.1 MAG: Barthadenovirus caerulei isolate par083ade1 genomic sequence</t>
  </si>
  <si>
    <t>ncbi.nlm.nih.gov/nuccore/BK066448</t>
  </si>
  <si>
    <t>&gt;BK066448.1 MAG TPA_asm: Barthadenovirus zootocae isolate Adeno35082 genomic sequence</t>
  </si>
  <si>
    <t>https://www.ncbi.nlm.nih.gov/nuccore/BK066675.1?report=fasta</t>
  </si>
  <si>
    <t>Varanid</t>
  </si>
  <si>
    <t>Zootoca Lizard</t>
  </si>
  <si>
    <t>&gt;BK066675.1 MAG TPA_asm: Barthadenovirus varani isolate Adeno37597 genomic sequence</t>
  </si>
  <si>
    <t>&gt;OQ986611.1 MAG: Barthadenovirus gerygones isolate GEIG genomic sequence</t>
  </si>
  <si>
    <t>Gray warbler</t>
  </si>
  <si>
    <t>https://www.ncbi.nlm.nih.gov/nuccore/OQ986611.1?report=fasta</t>
  </si>
  <si>
    <t>&gt;MT138101.1 MAG: Barthadenovirus inornati isolate warbler203 genomic sequence</t>
  </si>
  <si>
    <t>Warbler</t>
  </si>
  <si>
    <t>https://www.ncbi.nlm.nih.gov/nuccore/MT138101.1?report=fasta</t>
  </si>
  <si>
    <t>&gt;MT138103.1 MAG: Barthadenovirus schwarzi isolate wwb174ade01 genomic sequence</t>
  </si>
  <si>
    <t>Some type of Bird</t>
  </si>
  <si>
    <t>https://www.ncbi.nlm.nih.gov/nuccore/MT138103.1</t>
  </si>
  <si>
    <t>https://www.ncbi.nlm.nih.gov/nuccore/?term=txid3152491[organism:exp]%20AND%20biomol_genomic[prop]</t>
  </si>
  <si>
    <t>Link for this search</t>
  </si>
  <si>
    <t>https://www.ncbi.nlm.nih.gov/nuccore/OM367996.1?report=fasta</t>
  </si>
  <si>
    <t>Falcon</t>
  </si>
  <si>
    <t>Falcon aviadenovirus A isolate CDVUM_2557971, complete genome</t>
  </si>
  <si>
    <t>Owl</t>
  </si>
  <si>
    <t>https://www.ncbi.nlm.nih.gov/nuccore/LC638697.1?report=fasta</t>
  </si>
  <si>
    <t>Aviadenovirus bubonis</t>
  </si>
  <si>
    <t>Aviadenovirus phalacrocoracidae isolate Cormorant/AdV-KZ01, complete genome</t>
  </si>
  <si>
    <t>Cormorant</t>
  </si>
  <si>
    <t>https://www.ncbi.nlm.nih.gov/nuccore/OR529407.1?report=fasta</t>
  </si>
  <si>
    <t>Orthogroup</t>
  </si>
  <si>
    <t>agile_wallaby</t>
  </si>
  <si>
    <t>aviadenovirus_bubonis</t>
  </si>
  <si>
    <t>avian_adv</t>
  </si>
  <si>
    <t>barthadenovirus_caerulei</t>
  </si>
  <si>
    <t>barthadenovirus_gerygones</t>
  </si>
  <si>
    <t>barthadenovirus_inornati</t>
  </si>
  <si>
    <t>barthadenovirus_schwarzi</t>
  </si>
  <si>
    <t>barthadenovirus_varani</t>
  </si>
  <si>
    <t>barthadenovirus_zootocae</t>
  </si>
  <si>
    <t>bat_adv_2</t>
  </si>
  <si>
    <t>bearded_dragon_adv_1</t>
  </si>
  <si>
    <t>bovine_adv_7</t>
  </si>
  <si>
    <t>canine_adv_2</t>
  </si>
  <si>
    <t>chinstrap_penguin</t>
  </si>
  <si>
    <t>corella_adv_1</t>
  </si>
  <si>
    <t>cormorant_aviadenovirus</t>
  </si>
  <si>
    <t>deer_adv_A</t>
  </si>
  <si>
    <t>duck_adv_1</t>
  </si>
  <si>
    <t>falcon_aviadenovirus</t>
  </si>
  <si>
    <t>fowl_aviadenovirus_b</t>
  </si>
  <si>
    <t>frog_adv</t>
  </si>
  <si>
    <t>human_adv_a</t>
  </si>
  <si>
    <t>human_adv_c</t>
  </si>
  <si>
    <t>lizard_adv_2</t>
  </si>
  <si>
    <t>odocoileus_adv_1</t>
  </si>
  <si>
    <t>ovine_adv_7</t>
  </si>
  <si>
    <t>passerine_adenovirus_1</t>
  </si>
  <si>
    <t>psittacine_adv_3</t>
  </si>
  <si>
    <t>red_eared_slider_adv_partial</t>
  </si>
  <si>
    <t>snake_adv_1</t>
  </si>
  <si>
    <t>softshell_turtle</t>
  </si>
  <si>
    <t>tern_adv_1</t>
  </si>
  <si>
    <t>thrush_adv</t>
  </si>
  <si>
    <t>turkey_adv_3</t>
  </si>
  <si>
    <t>white_sturgeon_adv</t>
  </si>
  <si>
    <t>Total</t>
  </si>
  <si>
    <t>OG0000000</t>
  </si>
  <si>
    <t>OG0000001</t>
  </si>
  <si>
    <t>OG0000002</t>
  </si>
  <si>
    <t>OG0000003</t>
  </si>
  <si>
    <t>OG0000004</t>
  </si>
  <si>
    <t>OG0000005</t>
  </si>
  <si>
    <t>OG0000006</t>
  </si>
  <si>
    <t>OG0000007</t>
  </si>
  <si>
    <t>OG0000008</t>
  </si>
  <si>
    <t>OG0000009</t>
  </si>
  <si>
    <t>OG0000010</t>
  </si>
  <si>
    <t>OG0000011</t>
  </si>
  <si>
    <t>OG0000012</t>
  </si>
  <si>
    <t>OG0000013</t>
  </si>
  <si>
    <t>OG0000014</t>
  </si>
  <si>
    <t>OG0000015</t>
  </si>
  <si>
    <t>OG0000016</t>
  </si>
  <si>
    <t>OG0000017</t>
  </si>
  <si>
    <t>OG0000018</t>
  </si>
  <si>
    <t>OG0000019</t>
  </si>
  <si>
    <t>OG0000020</t>
  </si>
  <si>
    <t>OG0000021</t>
  </si>
  <si>
    <t>OG0000022</t>
  </si>
  <si>
    <t>OG0000023</t>
  </si>
  <si>
    <t>OG0000024</t>
  </si>
  <si>
    <t>OG0000025</t>
  </si>
  <si>
    <t>OG0000026</t>
  </si>
  <si>
    <t>OG0000027</t>
  </si>
  <si>
    <t>OG0000028</t>
  </si>
  <si>
    <t>OG0000029</t>
  </si>
  <si>
    <t>OG0000030</t>
  </si>
  <si>
    <t>OG0000031</t>
  </si>
  <si>
    <t>OG0000032</t>
  </si>
  <si>
    <t>OG0000033</t>
  </si>
  <si>
    <t>OG0000034</t>
  </si>
  <si>
    <t>OG0000035</t>
  </si>
  <si>
    <t>OG0000036</t>
  </si>
  <si>
    <t>OG0000037</t>
  </si>
  <si>
    <t>OG0000038</t>
  </si>
  <si>
    <t>OG0000039</t>
  </si>
  <si>
    <t>OG0000040</t>
  </si>
  <si>
    <t>OG0000041</t>
  </si>
  <si>
    <t>OG0000042</t>
  </si>
  <si>
    <t>OG0000043</t>
  </si>
  <si>
    <t>OG0000044</t>
  </si>
  <si>
    <t>OG0000045</t>
  </si>
  <si>
    <t>OG0000046</t>
  </si>
  <si>
    <t>OG0000047</t>
  </si>
  <si>
    <t>OG0000048</t>
  </si>
  <si>
    <t>OG0000049</t>
  </si>
  <si>
    <t>OG0000050</t>
  </si>
  <si>
    <t>OG0000051</t>
  </si>
  <si>
    <t>OG0000052</t>
  </si>
  <si>
    <t>OG0000053</t>
  </si>
  <si>
    <t>OG0000054</t>
  </si>
  <si>
    <t>OG0000055</t>
  </si>
  <si>
    <t>OG0000056</t>
  </si>
  <si>
    <t>OG0000057</t>
  </si>
  <si>
    <t>OG0000058</t>
  </si>
  <si>
    <t>OG0000059</t>
  </si>
  <si>
    <t>OG0000060</t>
  </si>
  <si>
    <t>OG0000061</t>
  </si>
  <si>
    <t>OG0000062</t>
  </si>
  <si>
    <t>OG0000063</t>
  </si>
  <si>
    <t>OG0000064</t>
  </si>
  <si>
    <t>OG0000065</t>
  </si>
  <si>
    <t>OG0000066</t>
  </si>
  <si>
    <t>OG0000067</t>
  </si>
  <si>
    <t>OG0000068</t>
  </si>
  <si>
    <t>OG0000069</t>
  </si>
  <si>
    <t>OG0000070</t>
  </si>
  <si>
    <t>OG0000071</t>
  </si>
  <si>
    <t>OG0000072</t>
  </si>
  <si>
    <t>OG0000073</t>
  </si>
  <si>
    <t>OG0000074</t>
  </si>
  <si>
    <t>OG0000075</t>
  </si>
  <si>
    <t>OG0000076</t>
  </si>
  <si>
    <t>OG0000077</t>
  </si>
  <si>
    <t>OG0000078</t>
  </si>
  <si>
    <t>OG0000079</t>
  </si>
  <si>
    <t>OG0000080</t>
  </si>
  <si>
    <t>OG0000081</t>
  </si>
  <si>
    <t>OG0000082</t>
  </si>
  <si>
    <t>OG0000083</t>
  </si>
  <si>
    <t>OG0000084</t>
  </si>
  <si>
    <t>OG0000085</t>
  </si>
  <si>
    <t>OG0000086</t>
  </si>
  <si>
    <t>OG0000087</t>
  </si>
  <si>
    <t>OG0000088</t>
  </si>
  <si>
    <t>OG0000089</t>
  </si>
  <si>
    <t>OG0000090</t>
  </si>
  <si>
    <t>OG0000091</t>
  </si>
  <si>
    <t>OG0000092</t>
  </si>
  <si>
    <t>OG0000093</t>
  </si>
  <si>
    <t>OG0000094</t>
  </si>
  <si>
    <t>OG0000095</t>
  </si>
  <si>
    <t>OG0000096</t>
  </si>
  <si>
    <t>OG0000097</t>
  </si>
  <si>
    <t>OG0000098</t>
  </si>
  <si>
    <t>OG0000099</t>
  </si>
  <si>
    <t>OG0000100</t>
  </si>
  <si>
    <t>OG0000101</t>
  </si>
  <si>
    <t>OG0000102</t>
  </si>
  <si>
    <t>OG0000103</t>
  </si>
  <si>
    <t>OG0000104</t>
  </si>
  <si>
    <t>8054 16_13931..14977_ 348 aa</t>
  </si>
  <si>
    <t>8158 16_13940..14986_ 348 aa</t>
  </si>
  <si>
    <t>agile_wallaby 19_23038..23928_ 296 aa</t>
  </si>
  <si>
    <t>avian_adv 19_22685..24619_ 644 aa</t>
  </si>
  <si>
    <t>barthadenovirus_caerulei 18_20134..21264_ 376 aa, barthadenovirus_caerulei 19_21313..22737_ 474 aa</t>
  </si>
  <si>
    <t>barthadenovirus_inornati 18_22768..24051_ 427 aa, barthadenovirus_inornati 19_24072..24935_ 287 aa, barthadenovirus_inornati 20_24946..25875_ 309 aa, barthadenovirus_inornati 21_25872..27428_ 518 aa</t>
  </si>
  <si>
    <t>barthadenovirus_schwarzi 17_19185..20435_ 416 aa, barthadenovirus_schwarzi 18_20435..21322_ 295 aa, barthadenovirus_schwarzi 19_21376..26379_ 1667 aa</t>
  </si>
  <si>
    <t>barthadenovirus_varani 21_23852..25561_ 569 aa</t>
  </si>
  <si>
    <t>barthadenovirus_zootocae 19_23200..24390_ 396 aa</t>
  </si>
  <si>
    <t>bat_adv_2 24_26820..28493_ 557 aa</t>
  </si>
  <si>
    <t>bearded_dragon_adv_1 20_23920..25461_ 513 aa</t>
  </si>
  <si>
    <t>bovine_adv_7 20_22237..23643_ 468 aa</t>
  </si>
  <si>
    <t>canine_adv_2 23_26466..28220_ 584 aa</t>
  </si>
  <si>
    <t>chinstrap_penguin 18_21167..22492_ 441 aa</t>
  </si>
  <si>
    <t>corella_adv_1 15_22527..24500_ 657 aa</t>
  </si>
  <si>
    <t>deer_adv_A 21_23858..25279_ 473 aa</t>
  </si>
  <si>
    <t>duck_adv_1 19_22685..24619_ 644 aa</t>
  </si>
  <si>
    <t>falcon_aviadenovirus 24_28843..30495_ 550 aa</t>
  </si>
  <si>
    <t>frog_adv 17_22343..23632_ 429 aa</t>
  </si>
  <si>
    <t>human_adv_a 28_29368..31131_ 587 aa</t>
  </si>
  <si>
    <t>human_adv_c 31_30973..32778_ 601 aa</t>
  </si>
  <si>
    <t>lizard_adv_2 20_23088..24083_ 331 aa, lizard_adv_2 21_24102..25403_ 433 aa</t>
  </si>
  <si>
    <t>odocoileus_adv_1 21_23868..25289_ 473 aa</t>
  </si>
  <si>
    <t>ovine_adv_7 19_22275..23906_ 543 aa</t>
  </si>
  <si>
    <t>psittacine_adv_3 19_21143..22345_ 400 aa, psittacine_adv_3 20_22356..23816_ 486 aa</t>
  </si>
  <si>
    <t>snake_adv_1 21_23099..24346_ 415 aa</t>
  </si>
  <si>
    <t>softshell_turtle 18_22320..23609_ 429 aa</t>
  </si>
  <si>
    <t>tern_adv_1 19_22324..24369_ 681 aa</t>
  </si>
  <si>
    <t>thrush_adv 19_25363..27309_ 648 aa</t>
  </si>
  <si>
    <t>turkey_adv_3 18_22517..23881_ 454 aa</t>
  </si>
  <si>
    <t>white_sturgeon_adv 1_363..1580_ 405 aa</t>
  </si>
  <si>
    <t>8054 23_23025..23663_ 212 aa</t>
  </si>
  <si>
    <t>8158 23_23034..23672_ 212 aa</t>
  </si>
  <si>
    <t>agile_wallaby 12_14575..15243_ 222 aa</t>
  </si>
  <si>
    <t>aviadenovirus_bubonis 18_18389..19042_ 217 aa</t>
  </si>
  <si>
    <t>avian_adv 12_13942..14634_ 230 aa</t>
  </si>
  <si>
    <t>barthadenovirus_caerulei 11_11728..12363_ 211 aa</t>
  </si>
  <si>
    <t>barthadenovirus_gerygones 10_12315..13052_ 245 aa</t>
  </si>
  <si>
    <t>barthadenovirus_inornati 10_13926..14573_ 215 aa</t>
  </si>
  <si>
    <t>barthadenovirus_schwarzi 9_10609..11271_ 220 aa</t>
  </si>
  <si>
    <t>barthadenovirus_varani 14_14629..15333_ 234 aa</t>
  </si>
  <si>
    <t>barthadenovirus_zootocae 12_14300..14974_ 224 aa</t>
  </si>
  <si>
    <t>bat_adv_2 15_16186..16932_ 248 aa</t>
  </si>
  <si>
    <t>bearded_dragon_adv_1 13_14685..15335_ 216 aa</t>
  </si>
  <si>
    <t>bovine_adv_7 13_13948..14583_ 211 aa</t>
  </si>
  <si>
    <t>canine_adv_2 15_16114..16863_ 249 aa</t>
  </si>
  <si>
    <t>chinstrap_penguin 10_11615..12286_ 223 aa</t>
  </si>
  <si>
    <t>corella_adv_1 8_12960..13628_ 222 aa</t>
  </si>
  <si>
    <t>cormorant_aviadenovirus 18_19287..19994_ 235 aa</t>
  </si>
  <si>
    <t>deer_adv_A 14_15404..16081_ 225 aa</t>
  </si>
  <si>
    <t>duck_adv_1 12_13942..14634_ 230 aa</t>
  </si>
  <si>
    <t>falcon_aviadenovirus 15_18363..19031_ 222 aa</t>
  </si>
  <si>
    <t>fowl_aviadenovirus_b 16_19732..20427_ 231 aa</t>
  </si>
  <si>
    <t>frog_adv 9_12953..13606_ 217 aa</t>
  </si>
  <si>
    <t>human_adv_a 14_16843..17640_ 265 aa</t>
  </si>
  <si>
    <t>human_adv_c 18_18001..18753_ 250 aa</t>
  </si>
  <si>
    <t>lizard_adv_2 13_14433..15113_ 226 aa</t>
  </si>
  <si>
    <t>odocoileus_adv_1 14_15414..16091_ 225 aa</t>
  </si>
  <si>
    <t>ovine_adv_7 13_13916..14581_ 221 aa</t>
  </si>
  <si>
    <t>passerine_adenovirus_1 14_15651..16403_ 250 aa</t>
  </si>
  <si>
    <t>psittacine_adv_3 12_12671..13300_ 209 aa</t>
  </si>
  <si>
    <t>red_eared_slider_adv_partial 7_11750..12610_ 286 aa</t>
  </si>
  <si>
    <t>snake_adv_1 14_14369..15040_ 223 aa</t>
  </si>
  <si>
    <t>softshell_turtle 10_12925..13578_ 217 aa</t>
  </si>
  <si>
    <t>tern_adv_1 12_13800..14435_ 211 aa</t>
  </si>
  <si>
    <t>thrush_adv 12_16887..17591_ 234 aa</t>
  </si>
  <si>
    <t>turkey_adv_3 10_12904..13599_ 231 aa</t>
  </si>
  <si>
    <t>white_sturgeon_adv 11_18789..19502_ 237 aa</t>
  </si>
  <si>
    <t>8054 26_24406..25788_ 460 aa</t>
  </si>
  <si>
    <t>8158 26_24415..25797_ 460 aa</t>
  </si>
  <si>
    <t>agile_wallaby 10_12601..13947_ 448 aa</t>
  </si>
  <si>
    <t>aviadenovirus_bubonis 16_15730..17325_ 531 aa</t>
  </si>
  <si>
    <t>avian_adv 10_11774..13132_ 452 aa</t>
  </si>
  <si>
    <t>barthadenovirus_caerulei 8_9593..10945_ 450 aa</t>
  </si>
  <si>
    <t>barthadenovirus_gerygones 8_10360..11733_ 457 aa</t>
  </si>
  <si>
    <t>barthadenovirus_inornati 8_11929..13302_ 457 aa</t>
  </si>
  <si>
    <t>barthadenovirus_schwarzi 7_8631..10004_ 457 aa</t>
  </si>
  <si>
    <t>barthadenovirus_varani 11_12444..13793_ 449 aa</t>
  </si>
  <si>
    <t>barthadenovirus_zootocae 9_12002..13351_ 449 aa</t>
  </si>
  <si>
    <t>bat_adv_2 11_12660..14093_ 477 aa</t>
  </si>
  <si>
    <t>bearded_dragon_adv_1 11_12493..13908_ 471 aa</t>
  </si>
  <si>
    <t>bovine_adv_7 10_11938..13296_ 452 aa</t>
  </si>
  <si>
    <t>canine_adv_2 12_12607..14040_ 477 aa</t>
  </si>
  <si>
    <t>chinstrap_penguin 8_9677..11020_ 447 aa</t>
  </si>
  <si>
    <t>corella_adv_1 7_11058..12404_ 448 aa</t>
  </si>
  <si>
    <t>cormorant_aviadenovirus 15_16592..18112_ 506 aa</t>
  </si>
  <si>
    <t>deer_adv_A 11_13390..14742_ 450 aa</t>
  </si>
  <si>
    <t>duck_adv_1 10_11774..13132_ 452 aa</t>
  </si>
  <si>
    <t>falcon_aviadenovirus 13_15826..17376_ 516 aa</t>
  </si>
  <si>
    <t>fowl_aviadenovirus_b 13_16771..18402_ 543 aa</t>
  </si>
  <si>
    <t>frog_adv 7_10947..12284_ 445 aa</t>
  </si>
  <si>
    <t>human_adv_a 10_13394..14887_ 497 aa</t>
  </si>
  <si>
    <t>human_adv_c 14_14151..15866_ 571 aa</t>
  </si>
  <si>
    <t>lizard_adv_2 10_12294..13649_ 451 aa</t>
  </si>
  <si>
    <t>odocoileus_adv_1 11_13400..14752_ 450 aa</t>
  </si>
  <si>
    <t>ovine_adv_7 10_11911..13269_ 452 aa</t>
  </si>
  <si>
    <t>passerine_adenovirus_1 11_13405..14916_ 503 aa</t>
  </si>
  <si>
    <t>psittacine_adv_3 9_10550..11902_ 450 aa</t>
  </si>
  <si>
    <t>red_eared_slider_adv_partial 5_9566..10984_ 472 aa</t>
  </si>
  <si>
    <t>snake_adv_1 12_12288..13640_ 450 aa</t>
  </si>
  <si>
    <t>softshell_turtle 7_10919..12256_ 445 aa</t>
  </si>
  <si>
    <t>tern_adv_1 9_11704..13062_ 452 aa</t>
  </si>
  <si>
    <t>thrush_adv 10_14778..16127_ 449 aa</t>
  </si>
  <si>
    <t>turkey_adv_3 8_10999..12345_ 448 aa</t>
  </si>
  <si>
    <t>white_sturgeon_adv 10_16897..18228_ 443 aa</t>
  </si>
  <si>
    <t>8054 27_25822..27651_ 609 aa</t>
  </si>
  <si>
    <t>8158 27_25831..27660_ 609 aa</t>
  </si>
  <si>
    <t>agile_wallaby 9_10777..12543_ 588 aa</t>
  </si>
  <si>
    <t>aviadenovirus_bubonis 15_13910..15682_ 590 aa</t>
  </si>
  <si>
    <t>avian_adv 9_10017..11744_ 575 aa</t>
  </si>
  <si>
    <t>barthadenovirus_caerulei 7_7885..9561_ 558 aa</t>
  </si>
  <si>
    <t>barthadenovirus_gerygones 7_8659..10215_ 518 aa</t>
  </si>
  <si>
    <t>barthadenovirus_inornati 7_10092..11627_ 511 aa</t>
  </si>
  <si>
    <t>barthadenovirus_schwarzi 6_6921..8414_ 497 aa</t>
  </si>
  <si>
    <t>barthadenovirus_varani 10_10600..12417_ 605 aa</t>
  </si>
  <si>
    <t>barthadenovirus_zootocae 8_10092..11963_ 623 aa</t>
  </si>
  <si>
    <t>bat_adv_2 10_10843..12591_ 582 aa</t>
  </si>
  <si>
    <t>bearded_dragon_adv_1 10_10625..12451_ 608 aa</t>
  </si>
  <si>
    <t>bovine_adv_7 9_10184..11896_ 570 aa</t>
  </si>
  <si>
    <t>canine_adv_2 11_10853..12556_ 567 aa</t>
  </si>
  <si>
    <t>chinstrap_penguin 7_8114..9655_ 513 aa</t>
  </si>
  <si>
    <t>corella_adv_1 6_9504..11036_ 510 aa</t>
  </si>
  <si>
    <t>cormorant_aviadenovirus 14_14544..16469_ 641 aa</t>
  </si>
  <si>
    <t>deer_adv_A 10_11572..13320_ 582 aa</t>
  </si>
  <si>
    <t>duck_adv_1 9_10017..11744_ 575 aa</t>
  </si>
  <si>
    <t>falcon_aviadenovirus 12_14045..15787_ 580 aa</t>
  </si>
  <si>
    <t>fowl_aviadenovirus_b 12_14766..16559_ 597 aa</t>
  </si>
  <si>
    <t>frog_adv 6_9461..10915_ 484 aa</t>
  </si>
  <si>
    <t>human_adv_a 9_11570..13318_ 582 aa</t>
  </si>
  <si>
    <t>human_adv_c 13_12308..14065_ 585 aa</t>
  </si>
  <si>
    <t>lizard_adv_2 9_10417..12246_ 609 aa</t>
  </si>
  <si>
    <t>odocoileus_adv_1 10_11582..13330_ 582 aa</t>
  </si>
  <si>
    <t>ovine_adv_7 9_10159..11865_ 568 aa</t>
  </si>
  <si>
    <t>passerine_adenovirus_1 10_11574..13259_ 561 aa</t>
  </si>
  <si>
    <t>psittacine_adv_3 8_8840..10519_ 559 aa</t>
  </si>
  <si>
    <t>red_eared_slider_adv_partial 4_7121..9514_ 797 aa</t>
  </si>
  <si>
    <t>snake_adv_1 11_10396..12243_ 615 aa</t>
  </si>
  <si>
    <t>softshell_turtle 6_9439..10887_ 482 aa</t>
  </si>
  <si>
    <t>tern_adv_1 8_9955..11664_ 569 aa</t>
  </si>
  <si>
    <t>thrush_adv 9_13022..14731_ 569 aa</t>
  </si>
  <si>
    <t>turkey_adv_3 7_9460..10977_ 505 aa</t>
  </si>
  <si>
    <t>white_sturgeon_adv 9_15159..16868_ 569 aa</t>
  </si>
  <si>
    <t>8054 28_27608..28615_ 335 aa</t>
  </si>
  <si>
    <t>8158 28_27617..28624_ 335 aa</t>
  </si>
  <si>
    <t>agile_wallaby 8_9815..10801_ 328 aa</t>
  </si>
  <si>
    <t>aviadenovirus_bubonis 14_12757..13923_ 388 aa</t>
  </si>
  <si>
    <t>avian_adv 8_9035..10051_ 338 aa</t>
  </si>
  <si>
    <t>barthadenovirus_caerulei 6_6905..7885_ 326 aa</t>
  </si>
  <si>
    <t>barthadenovirus_gerygones 6_7671..8675_ 334 aa</t>
  </si>
  <si>
    <t>barthadenovirus_inornati 6_9071..10078_ 335 aa</t>
  </si>
  <si>
    <t>barthadenovirus_schwarzi 5_5941..6918_ 325 aa</t>
  </si>
  <si>
    <t>barthadenovirus_varani 9_9609..10649_ 346 aa</t>
  </si>
  <si>
    <t>barthadenovirus_zootocae 7_9082..10113_ 343 aa</t>
  </si>
  <si>
    <t>bat_adv_2 9_9777..10970_ 397 aa</t>
  </si>
  <si>
    <t>bearded_dragon_adv_1 9_9609..10634_ 341 aa</t>
  </si>
  <si>
    <t>bovine_adv_7 8_9147..10199_ 350 aa</t>
  </si>
  <si>
    <t>canine_adv_2 10_9598..10980_ 460 aa</t>
  </si>
  <si>
    <t>chinstrap_penguin 6_7228..8124_ 298 aa</t>
  </si>
  <si>
    <t>corella_adv_1 5_8609..9514_ 301 aa</t>
  </si>
  <si>
    <t>cormorant_aviadenovirus 13_13415..14557_ 380 aa</t>
  </si>
  <si>
    <t>deer_adv_A 9_10574..11587_ 337 aa</t>
  </si>
  <si>
    <t>duck_adv_1 8_9035..10051_ 338 aa</t>
  </si>
  <si>
    <t>falcon_aviadenovirus 11_12961..14058_ 365 aa</t>
  </si>
  <si>
    <t>fowl_aviadenovirus_b 11_13517..14779_ 420 aa</t>
  </si>
  <si>
    <t>frog_adv 5_8578..9471_ 297 aa</t>
  </si>
  <si>
    <t>human_adv_a 8_10428..11549_ 373 aa</t>
  </si>
  <si>
    <t>human_adv_c 12_11040..12287_ 415 aa</t>
  </si>
  <si>
    <t>lizard_adv_2 8_9440..10432_ 330 aa</t>
  </si>
  <si>
    <t>odocoileus_adv_1 9_10584..11597_ 337 aa</t>
  </si>
  <si>
    <t>ovine_adv_7 8_9159..10166_ 335 aa</t>
  </si>
  <si>
    <t>passerine_adenovirus_1 9_10547..11581_ 344 aa</t>
  </si>
  <si>
    <t>psittacine_adv_3 7_7863..8837_ 324 aa</t>
  </si>
  <si>
    <t>red_eared_slider_adv_partial 3_5769..7118_ 449 aa</t>
  </si>
  <si>
    <t>snake_adv_1 10_9404..10411_ 335 aa</t>
  </si>
  <si>
    <t>softshell_turtle 5_8556..9449_ 297 aa</t>
  </si>
  <si>
    <t>tern_adv_1 7_8985..9971_ 328 aa</t>
  </si>
  <si>
    <t>thrush_adv 8_12051..13025_ 324 aa</t>
  </si>
  <si>
    <t>turkey_adv_3 6_8568..9470_ 300 aa</t>
  </si>
  <si>
    <t>white_sturgeon_adv 8_14090..15151_ 353 aa</t>
  </si>
  <si>
    <t>8054 31_28996..30429_ 477 aa</t>
  </si>
  <si>
    <t>8158 31_29005..30438_ 477 aa</t>
  </si>
  <si>
    <t>agile_wallaby 7_7982..9754_ 590 aa</t>
  </si>
  <si>
    <t>aviadenovirus_bubonis 12_10847..12556_ 569 aa</t>
  </si>
  <si>
    <t>avian_adv 7_7198..8943_ 581 aa</t>
  </si>
  <si>
    <t>barthadenovirus_caerulei 5_5011..6876_ 621 aa</t>
  </si>
  <si>
    <t>barthadenovirus_gerygones 5_5973..7427_ 484 aa</t>
  </si>
  <si>
    <t>barthadenovirus_inornati 5_7175..8677_ 500 aa</t>
  </si>
  <si>
    <t>barthadenovirus_schwarzi 3_4136..5557_ 473 aa</t>
  </si>
  <si>
    <t>barthadenovirus_varani 8_7719..9575_ 618 aa</t>
  </si>
  <si>
    <t>barthadenovirus_zootocae 6_7183..8997_ 604 aa</t>
  </si>
  <si>
    <t>bat_adv_2 8_7917..9782_ 621 aa</t>
  </si>
  <si>
    <t>bearded_dragon_adv_1 8_7673..9556_ 627 aa</t>
  </si>
  <si>
    <t>bovine_adv_7 7_7413..9224_ 603 aa</t>
  </si>
  <si>
    <t>canine_adv_2 9_7941..9632_ 563 aa</t>
  </si>
  <si>
    <t>chinstrap_penguin 5_5420..7279_ 619 aa</t>
  </si>
  <si>
    <t>corella_adv_1 4_6792..8630_ 612 aa</t>
  </si>
  <si>
    <t>cormorant_aviadenovirus 12_11520..13223_ 567 aa</t>
  </si>
  <si>
    <t>deer_adv_A 8_8760..10493_ 577 aa</t>
  </si>
  <si>
    <t>duck_adv_1 7_7198..8943_ 581 aa</t>
  </si>
  <si>
    <t>falcon_aviadenovirus 10_11051..12856_ 601 aa</t>
  </si>
  <si>
    <t>fowl_aviadenovirus_b 10_11454..13598_ 714 aa</t>
  </si>
  <si>
    <t>frog_adv 4_6692..8500_ 602 aa</t>
  </si>
  <si>
    <t>human_adv_a 7_8312..10132_ 606 aa</t>
  </si>
  <si>
    <t>human_adv_c 10_8573..10534_ 653 aa</t>
  </si>
  <si>
    <t>lizard_adv_2 7_7604..9355_ 583 aa</t>
  </si>
  <si>
    <t>odocoileus_adv_1 8_8770..10503_ 577 aa</t>
  </si>
  <si>
    <t>ovine_adv_7 7_7349..9274_ 641 aa</t>
  </si>
  <si>
    <t>passerine_adenovirus_1 8_8568..10208_ 546 aa</t>
  </si>
  <si>
    <t>psittacine_adv_3 6_5978..7765_ 595 aa</t>
  </si>
  <si>
    <t>red_eared_slider_adv_partial 2_3708..5603_ 631 aa</t>
  </si>
  <si>
    <t>snake_adv_1 9_7596..9359_ 587 aa</t>
  </si>
  <si>
    <t>softshell_turtle 4_6673..8478_ 601 aa</t>
  </si>
  <si>
    <t>tern_adv_1 6_7157..8899_ 580 aa</t>
  </si>
  <si>
    <t>thrush_adv 7_10180..11730_ 516 aa</t>
  </si>
  <si>
    <t>turkey_adv_3 5_6760..8556_ 598 aa</t>
  </si>
  <si>
    <t>white_sturgeon_adv 7_11911..14100_ 729 aa</t>
  </si>
  <si>
    <t>8054 32_30462..33665_ 1067 aa</t>
  </si>
  <si>
    <t>8158 32_30471..33674_ 1067 aa</t>
  </si>
  <si>
    <t>agile_wallaby 6_4761..8003_ 1080 aa</t>
  </si>
  <si>
    <t>aviadenovirus_bubonis 11_7174..10932_ 1252 aa</t>
  </si>
  <si>
    <t>avian_adv 6_3980..7219_ 1079 aa</t>
  </si>
  <si>
    <t>barthadenovirus_caerulei 4_1808..5038_ 1076 aa</t>
  </si>
  <si>
    <t>barthadenovirus_gerygones 4_2707..5826_ 1039 aa</t>
  </si>
  <si>
    <t>barthadenovirus_inornati 4_3897..7313_ 1138 aa</t>
  </si>
  <si>
    <t>barthadenovirus_schwarzi 2_894..4271_ 1125 aa</t>
  </si>
  <si>
    <t>barthadenovirus_varani 7_4600..7794_ 1064 aa</t>
  </si>
  <si>
    <t>barthadenovirus_zootocae 5_3959..7243_ 1094 aa</t>
  </si>
  <si>
    <t>bat_adv_2 7_4654..7851_ 1065 aa</t>
  </si>
  <si>
    <t>bearded_dragon_adv_1 6_4368..7160_ 930 aa</t>
  </si>
  <si>
    <t>bovine_adv_7 6_4195..7431_ 1078 aa</t>
  </si>
  <si>
    <t>canine_adv_2 7_4642..7575_ 977 aa</t>
  </si>
  <si>
    <t>chinstrap_penguin 4_2097..5423_ 1108 aa</t>
  </si>
  <si>
    <t>corella_adv_1 3_3463..6795_ 1110 aa</t>
  </si>
  <si>
    <t>cormorant_aviadenovirus 11_7768..11523_ 1251 aa</t>
  </si>
  <si>
    <t>deer_adv_A 7_5551..8778_ 1075 aa</t>
  </si>
  <si>
    <t>duck_adv_1 6_3980..7219_ 1079 aa</t>
  </si>
  <si>
    <t>falcon_aviadenovirus 9_7296..11048_ 1250 aa</t>
  </si>
  <si>
    <t>fowl_aviadenovirus_b 9_7573..11457_ 1294 aa</t>
  </si>
  <si>
    <t>frog_adv 3_3366..6692_ 1108 aa</t>
  </si>
  <si>
    <t>human_adv_a 6_4953..8138_ 1061 aa</t>
  </si>
  <si>
    <t>human_adv_c 9_5187..8357_ 1056 aa</t>
  </si>
  <si>
    <t>lizard_adv_2 6_4401..7628_ 1075 aa</t>
  </si>
  <si>
    <t>odocoileus_adv_1 7_5561..8788_ 1075 aa</t>
  </si>
  <si>
    <t>ovine_adv_7 6_4152..7367_ 1071 aa</t>
  </si>
  <si>
    <t>passerine_adenovirus_1 7_5164..8649_ 1161 aa</t>
  </si>
  <si>
    <t>psittacine_adv_3 5_2772..6005_ 1077 aa</t>
  </si>
  <si>
    <t>red_eared_slider_adv_partial 1_288..3698_ 1136 aa</t>
  </si>
  <si>
    <t>snake_adv_1 8_4363..7620_ 1085 aa</t>
  </si>
  <si>
    <t>softshell_turtle 3_3350..6673_ 1107 aa</t>
  </si>
  <si>
    <t>tern_adv_1 5_3945..7181_ 1078 aa</t>
  </si>
  <si>
    <t>thrush_adv 6_6980..10216_ 1078 aa</t>
  </si>
  <si>
    <t>turkey_adv_3 4_3425..6763_ 1112 aa</t>
  </si>
  <si>
    <t>white_sturgeon_adv 6_8411..11911_ 1166 aa</t>
  </si>
  <si>
    <t>8054 19_16204..18348_ 714 aa</t>
  </si>
  <si>
    <t>8158 19_16213..18357_ 714 aa</t>
  </si>
  <si>
    <t>agile_wallaby 16_19633..21711_ 692 aa</t>
  </si>
  <si>
    <t>aviadenovirus_bubonis 23_24547..27723_ 1058 aa</t>
  </si>
  <si>
    <t>avian_adv 16_19217..21346_ 709 aa</t>
  </si>
  <si>
    <t>barthadenovirus_caerulei 15_16909..18876_ 655 aa</t>
  </si>
  <si>
    <t>barthadenovirus_gerygones 14_17701..19560_ 619 aa</t>
  </si>
  <si>
    <t>barthadenovirus_inornati 15_19362..21344_ 660 aa</t>
  </si>
  <si>
    <t>barthadenovirus_schwarzi 13_15982..17877_ 631 aa</t>
  </si>
  <si>
    <t>barthadenovirus_varani 18_19795..22464_ 889 aa</t>
  </si>
  <si>
    <t>barthadenovirus_zootocae 16_19706..21949_ 747 aa</t>
  </si>
  <si>
    <t>bat_adv_2 19_21796..23895_ 699 aa</t>
  </si>
  <si>
    <t>bearded_dragon_adv_1 17_20110..22545_ 811 aa</t>
  </si>
  <si>
    <t>bovine_adv_7 17_19106..20992_ 628 aa</t>
  </si>
  <si>
    <t>canine_adv_2 19_21698..23767_ 689 aa</t>
  </si>
  <si>
    <t>chinstrap_penguin 14_16951..18909_ 652 aa</t>
  </si>
  <si>
    <t>corella_adv_1 12_18235..20346_ 703 aa</t>
  </si>
  <si>
    <t>cormorant_aviadenovirus 22_25018..28533_ 1171 aa</t>
  </si>
  <si>
    <t>deer_adv_A 18_20651..22564_ 637 aa</t>
  </si>
  <si>
    <t>duck_adv_1 16_19217..21346_ 709 aa</t>
  </si>
  <si>
    <t>falcon_aviadenovirus 19_24376..27066_ 896 aa</t>
  </si>
  <si>
    <t>fowl_aviadenovirus_b 20_25952..29356_ 1134 aa</t>
  </si>
  <si>
    <t>frog_adv 13_18293..20188_ 631 aa</t>
  </si>
  <si>
    <t>human_adv_a 18_22695..25043_ 782 aa</t>
  </si>
  <si>
    <t>human_adv_c 22_23526..26525_ 999 aa</t>
  </si>
  <si>
    <t>lizard_adv_2 17_19678..21705_ 675 aa</t>
  </si>
  <si>
    <t>odocoileus_adv_1 18_20661..22574_ 637 aa</t>
  </si>
  <si>
    <t>ovine_adv_7 17_19141..21018_ 625 aa</t>
  </si>
  <si>
    <t>passerine_adenovirus_1 18_21508..23607_ 699 aa</t>
  </si>
  <si>
    <t>psittacine_adv_3 16_17845..19812_ 655 aa</t>
  </si>
  <si>
    <t>snake_adv_1 18_19639..21678_ 679 aa</t>
  </si>
  <si>
    <t>softshell_turtle 14_18274..20169_ 631 aa</t>
  </si>
  <si>
    <t>tern_adv_1 16_19005..20924_ 639 aa</t>
  </si>
  <si>
    <t>thrush_adv 16_22168..24012_ 614 aa</t>
  </si>
  <si>
    <t>turkey_adv_3 14_18183..20225_ 680 aa</t>
  </si>
  <si>
    <t>white_sturgeon_adv 16_24401..26647_ 748 aa</t>
  </si>
  <si>
    <t>8054 20_18388..19659_ 423 aa</t>
  </si>
  <si>
    <t>8158 20_18397..19668_ 423 aa</t>
  </si>
  <si>
    <t>agile_wallaby 15_18622..19725_ 367 aa</t>
  </si>
  <si>
    <t>aviadenovirus_bubonis 21_22675..24048_ 457 aa</t>
  </si>
  <si>
    <t>avian_adv 15_18005..19168_ 387 aa</t>
  </si>
  <si>
    <t>barthadenovirus_caerulei 14_15736..16872_ 378 aa</t>
  </si>
  <si>
    <t>barthadenovirus_gerygones 13_16471..17682_ 403 aa</t>
  </si>
  <si>
    <t>barthadenovirus_inornati 14_17935..19293_ 452 aa</t>
  </si>
  <si>
    <t>barthadenovirus_schwarzi 12_14645..15925_ 426 aa</t>
  </si>
  <si>
    <t>barthadenovirus_varani 17_18717..19991_ 424 aa</t>
  </si>
  <si>
    <t>barthadenovirus_zootocae 15_18368..19645_ 425 aa</t>
  </si>
  <si>
    <t>bat_adv_2 18_20399..21784_ 461 aa</t>
  </si>
  <si>
    <t>bearded_dragon_adv_1 16_18742..20091_ 449 aa</t>
  </si>
  <si>
    <t>bovine_adv_7 16_17941..19086_ 381 aa</t>
  </si>
  <si>
    <t>canine_adv_2 18_20322..21686_ 454 aa</t>
  </si>
  <si>
    <t>chinstrap_penguin 13_15696..16730_ 344 aa</t>
  </si>
  <si>
    <t>corella_adv_1 11_17007..18017_ 336 aa</t>
  </si>
  <si>
    <t>cormorant_aviadenovirus 21_23643..25154_ 503 aa</t>
  </si>
  <si>
    <t>deer_adv_A 17_19470..20627_ 385 aa</t>
  </si>
  <si>
    <t>duck_adv_1 15_18005..19168_ 387 aa</t>
  </si>
  <si>
    <t>falcon_aviadenovirus 18_22643..24103_ 486 aa</t>
  </si>
  <si>
    <t>fowl_aviadenovirus_b 19_24157..25512_ 451 aa</t>
  </si>
  <si>
    <t>frog_adv 12_17028..18044_ 338 aa</t>
  </si>
  <si>
    <t>human_adv_a 17_21215..22669_ 484 aa</t>
  </si>
  <si>
    <t>human_adv_c 21_22490..24079_ 529 aa</t>
  </si>
  <si>
    <t>lizard_adv_2 16_18473..19642_ 389 aa</t>
  </si>
  <si>
    <t>odocoileus_adv_1 17_19480..20637_ 385 aa</t>
  </si>
  <si>
    <t>ovine_adv_7 16_17966..19114_ 382 aa</t>
  </si>
  <si>
    <t>passerine_adenovirus_1 17_19999..21486_ 495 aa</t>
  </si>
  <si>
    <t>psittacine_adv_3 15_16672..17808_ 378 aa</t>
  </si>
  <si>
    <t>snake_adv_1 17_18409..19602_ 397 aa</t>
  </si>
  <si>
    <t>softshell_turtle 13_17008..18024_ 338 aa</t>
  </si>
  <si>
    <t>tern_adv_1 15_17809..18951_ 380 aa</t>
  </si>
  <si>
    <t>thrush_adv 15_20995..22137_ 380 aa</t>
  </si>
  <si>
    <t>turkey_adv_3 13_16971..18011_ 346 aa</t>
  </si>
  <si>
    <t>white_sturgeon_adv 14_23006..23959_ 317 aa</t>
  </si>
  <si>
    <t>8054 21_19681..20286_ 201 aa</t>
  </si>
  <si>
    <t>8158 21_19690..20295_ 201 aa</t>
  </si>
  <si>
    <t>agile_wallaby 14_17998..18603_ 201 aa</t>
  </si>
  <si>
    <t>aviadenovirus_bubonis 20_21959..22582_ 207 aa</t>
  </si>
  <si>
    <t>avian_adv 14_17385..17993_ 202 aa</t>
  </si>
  <si>
    <t>barthadenovirus_caerulei 13_15122..15730_ 202 aa</t>
  </si>
  <si>
    <t>barthadenovirus_gerygones 12_15791..16408_ 205 aa</t>
  </si>
  <si>
    <t>barthadenovirus_inornati 13_17276..17917_ 213 aa</t>
  </si>
  <si>
    <t>barthadenovirus_schwarzi 11_13994..14611_ 205 aa</t>
  </si>
  <si>
    <t>barthadenovirus_varani 16_18103..18705_ 200 aa</t>
  </si>
  <si>
    <t>barthadenovirus_zootocae 14_17748..18350_ 200 aa</t>
  </si>
  <si>
    <t>bat_adv_2 17_19735..20355_ 206 aa</t>
  </si>
  <si>
    <t>bearded_dragon_adv_1 15_18093..18710_ 205 aa</t>
  </si>
  <si>
    <t>bovine_adv_7 15_17329..17937_ 202 aa</t>
  </si>
  <si>
    <t>canine_adv_2 17_19660..20280_ 206 aa</t>
  </si>
  <si>
    <t>chinstrap_penguin 12_15057..15695_ 212 aa</t>
  </si>
  <si>
    <t>corella_adv_1 10_16373..16987_ 204 aa</t>
  </si>
  <si>
    <t>cormorant_aviadenovirus 20_22886..23515_ 209 aa</t>
  </si>
  <si>
    <t>deer_adv_A 16_18830..19435_ 201 aa</t>
  </si>
  <si>
    <t>duck_adv_1 14_17385..17993_ 202 aa</t>
  </si>
  <si>
    <t>falcon_aviadenovirus 17_21946..22584_ 212 aa</t>
  </si>
  <si>
    <t>fowl_aviadenovirus_b 18_23398..24021_ 207 aa</t>
  </si>
  <si>
    <t>frog_adv 11_16376..16990_ 204 aa</t>
  </si>
  <si>
    <t>human_adv_a 16_20372..21145_ 257 aa</t>
  </si>
  <si>
    <t>human_adv_c 20_21778..22392_ 204 aa</t>
  </si>
  <si>
    <t>lizard_adv_2 15_17861..18466_ 201 aa</t>
  </si>
  <si>
    <t>odocoileus_adv_1 16_18840..19445_ 201 aa</t>
  </si>
  <si>
    <t>ovine_adv_7 15_17333..17938_ 201 aa</t>
  </si>
  <si>
    <t>passerine_adenovirus_1 16_19221..19901_ 226 aa</t>
  </si>
  <si>
    <t>psittacine_adv_3 14_16059..16667_ 202 aa</t>
  </si>
  <si>
    <t>snake_adv_1 16_17789..18394_ 201 aa</t>
  </si>
  <si>
    <t>softshell_turtle 12_16348..16962_ 204 aa</t>
  </si>
  <si>
    <t>tern_adv_1 14_17185..17790_ 201 aa</t>
  </si>
  <si>
    <t>thrush_adv 14_20360..20965_ 201 aa</t>
  </si>
  <si>
    <t>turkey_adv_3 12_16186..16974_ 262 aa</t>
  </si>
  <si>
    <t>white_sturgeon_adv 13_22352..22960_ 202 aa</t>
  </si>
  <si>
    <t>8054 22_20283..23006_ 907 aa</t>
  </si>
  <si>
    <t>8158 22_20292..23015_ 907 aa</t>
  </si>
  <si>
    <t>agile_wallaby 13_15272..18001_ 909 aa</t>
  </si>
  <si>
    <t>aviadenovirus_bubonis 19_19120..21954_ 944 aa</t>
  </si>
  <si>
    <t>avian_adv 13_14656..17388_ 910 aa</t>
  </si>
  <si>
    <t>barthadenovirus_caerulei 12_12384..15125_ 913 aa</t>
  </si>
  <si>
    <t>barthadenovirus_gerygones 11_13071..15788_ 905 aa</t>
  </si>
  <si>
    <t>barthadenovirus_inornati 11_14583..17279_ 898 aa</t>
  </si>
  <si>
    <t>barthadenovirus_schwarzi 10_11277..13997_ 906 aa</t>
  </si>
  <si>
    <t>barthadenovirus_varani 15_15356..18106_ 916 aa</t>
  </si>
  <si>
    <t>barthadenovirus_zootocae 13_15007..17751_ 914 aa</t>
  </si>
  <si>
    <t>bat_adv_2 16_17000..19723_ 907 aa</t>
  </si>
  <si>
    <t>bearded_dragon_adv_1 14_15298..18096_ 932 aa</t>
  </si>
  <si>
    <t>bovine_adv_7 14_14546..17332_ 928 aa</t>
  </si>
  <si>
    <t>canine_adv_2 16_16936..19653_ 905 aa</t>
  </si>
  <si>
    <t>chinstrap_penguin 11_12295..15057_ 920 aa</t>
  </si>
  <si>
    <t>corella_adv_1 9_13638..16373_ 911 aa</t>
  </si>
  <si>
    <t>cormorant_aviadenovirus 19_20045..22873_ 942 aa</t>
  </si>
  <si>
    <t>deer_adv_A 15_16101..18833_ 910 aa</t>
  </si>
  <si>
    <t>duck_adv_1 13_14656..17388_ 910 aa</t>
  </si>
  <si>
    <t>falcon_aviadenovirus 16_19123..21936_ 937 aa</t>
  </si>
  <si>
    <t>fowl_aviadenovirus_b 17_20519..23380_ 953 aa</t>
  </si>
  <si>
    <t>frog_adv 10_13614..16376_ 920 aa</t>
  </si>
  <si>
    <t>human_adv_a 15_17740..20499_ 919 aa</t>
  </si>
  <si>
    <t>human_adv_c 19_18838..21744_ 968 aa</t>
  </si>
  <si>
    <t>lizard_adv_2 14_15135..17864_ 909 aa</t>
  </si>
  <si>
    <t>odocoileus_adv_1 15_16111..18843_ 910 aa</t>
  </si>
  <si>
    <t>ovine_adv_7 14_14601..17336_ 911 aa</t>
  </si>
  <si>
    <t>passerine_adenovirus_1 15_16421..19150_ 909 aa</t>
  </si>
  <si>
    <t>psittacine_adv_3 13_13321..16062_ 913 aa</t>
  </si>
  <si>
    <t>snake_adv_1 15_15063..17792_ 909 aa</t>
  </si>
  <si>
    <t>softshell_turtle 11_13586..16348_ 920 aa</t>
  </si>
  <si>
    <t>tern_adv_1 13_14456..17188_ 910 aa</t>
  </si>
  <si>
    <t>thrush_adv 13_17625..20363_ 912 aa</t>
  </si>
  <si>
    <t>turkey_adv_3 11_13608..16328_ 906 aa</t>
  </si>
  <si>
    <t>white_sturgeon_adv 12_19512..22349_ 945 aa</t>
  </si>
  <si>
    <t>8054 18_15176..15844_ 222 aa</t>
  </si>
  <si>
    <t>8158 18_15185..15853_ 222 aa</t>
  </si>
  <si>
    <t>agile_wallaby 17_22078..22857_ 259 aa</t>
  </si>
  <si>
    <t>aviadenovirus_bubonis 24_28259..28999_ 246 aa</t>
  </si>
  <si>
    <t>avian_adv 17_21687..22439_ 250 aa</t>
  </si>
  <si>
    <t>barthadenovirus_caerulei 16_19206..19961_ 251 aa</t>
  </si>
  <si>
    <t>barthadenovirus_gerygones 15_20107..20721_ 204 aa</t>
  </si>
  <si>
    <t>barthadenovirus_inornati 16_21843..22535_ 230 aa</t>
  </si>
  <si>
    <t>barthadenovirus_schwarzi 14_18313..18975_ 220 aa</t>
  </si>
  <si>
    <t>barthadenovirus_varani 19_22807..23625_ 272 aa</t>
  </si>
  <si>
    <t>barthadenovirus_zootocae 17_22196..22999_ 267 aa</t>
  </si>
  <si>
    <t>bat_adv_2 20_24405..25094_ 229 aa</t>
  </si>
  <si>
    <t>bearded_dragon_adv_1 18_22916..23707_ 263 aa</t>
  </si>
  <si>
    <t>bovine_adv_7 18_21400..22053_ 217 aa</t>
  </si>
  <si>
    <t>canine_adv_2 20_24259..24933_ 224 aa</t>
  </si>
  <si>
    <t>chinstrap_penguin 15_19486..20118_ 210 aa</t>
  </si>
  <si>
    <t>corella_adv_1 13_20960..21556_ 198 aa</t>
  </si>
  <si>
    <t>cormorant_aviadenovirus 24_29023..29748_ 241 aa</t>
  </si>
  <si>
    <t>deer_adv_A 19_22984..23664_ 226 aa</t>
  </si>
  <si>
    <t>duck_adv_1 17_21687..22439_ 250 aa</t>
  </si>
  <si>
    <t>falcon_aviadenovirus 21_27544..28281_ 245 aa</t>
  </si>
  <si>
    <t>fowl_aviadenovirus_b 21_30029..30757_ 242 aa</t>
  </si>
  <si>
    <t>frog_adv 14_20625..21320_ 231 aa</t>
  </si>
  <si>
    <t>human_adv_a 20_25612..26313_ 233 aa</t>
  </si>
  <si>
    <t>human_adv_c 23_27215..27898_ 227 aa</t>
  </si>
  <si>
    <t>lizard_adv_2 18_22052..22888_ 278 aa</t>
  </si>
  <si>
    <t>odocoileus_adv_1 19_22994..23674_ 226 aa</t>
  </si>
  <si>
    <t>ovine_adv_7 18_21425..22078_ 217 aa</t>
  </si>
  <si>
    <t>passerine_adenovirus_1 21_24379..25053_ 224 aa</t>
  </si>
  <si>
    <t>psittacine_adv_3 17_20144..20896_ 250 aa</t>
  </si>
  <si>
    <t>snake_adv_1 20_22046..22882_ 278 aa</t>
  </si>
  <si>
    <t>softshell_turtle 15_20723..21334_ 203 aa</t>
  </si>
  <si>
    <t>tern_adv_1 17_21323..22129_ 268 aa</t>
  </si>
  <si>
    <t>thrush_adv 17_24395..25153_ 252 aa</t>
  </si>
  <si>
    <t>turkey_adv_3 15_20767..21369_ 200 aa</t>
  </si>
  <si>
    <t>8054 33_33371..34723_ 450 aa</t>
  </si>
  <si>
    <t>8158 33_33380..34732_ 450 aa</t>
  </si>
  <si>
    <t>agile_wallaby 5_3685..4587_ 300 aa</t>
  </si>
  <si>
    <t>aviadenovirus_bubonis 10_5991..7187_ 398 aa</t>
  </si>
  <si>
    <t>avian_adv 5_2907..4112_ 401 aa</t>
  </si>
  <si>
    <t>barthadenovirus_caerulei 2_738..1244_ 168 aa</t>
  </si>
  <si>
    <t>barthadenovirus_gerygones 3_1628..3010_ 460 aa</t>
  </si>
  <si>
    <t>barthadenovirus_inornati 3_2815..4314_ 499 aa</t>
  </si>
  <si>
    <t>barthadenovirus_varani 6_3545..4861_ 438 aa</t>
  </si>
  <si>
    <t>barthadenovirus_zootocae 4_2730..3590_ 286 aa</t>
  </si>
  <si>
    <t>bat_adv_2 6_3545..4762_ 405 aa</t>
  </si>
  <si>
    <t>bearded_dragon_adv_1 5_3307..4659_ 450 aa</t>
  </si>
  <si>
    <t>bovine_adv_7 5_3116..3631_ 171 aa</t>
  </si>
  <si>
    <t>canine_adv_2 6_3551..4759_ 402 aa</t>
  </si>
  <si>
    <t>chinstrap_penguin 3_1007..2107_ 366 aa</t>
  </si>
  <si>
    <t>corella_adv_1 2_2379..3536_ 385 aa</t>
  </si>
  <si>
    <t>cormorant_aviadenovirus 10_6662..7888_ 408 aa</t>
  </si>
  <si>
    <t>deer_adv_A 6_4475..5683_ 402 aa</t>
  </si>
  <si>
    <t>duck_adv_1 5_2907..4112_ 401 aa</t>
  </si>
  <si>
    <t>falcon_aviadenovirus 8_6140..7330_ 396 aa</t>
  </si>
  <si>
    <t>fowl_aviadenovirus_b 8_6360..7565_ 401 aa</t>
  </si>
  <si>
    <t>frog_adv 2_2270..3373_ 367 aa</t>
  </si>
  <si>
    <t>human_adv_a 5_3844..5202_ 452 aa</t>
  </si>
  <si>
    <t>human_adv_c 8_4081..5439_ 452 aa</t>
  </si>
  <si>
    <t>lizard_adv_2 5_3331..4590_ 419 aa</t>
  </si>
  <si>
    <t>odocoileus_adv_1 6_4485..5693_ 402 aa</t>
  </si>
  <si>
    <t>ovine_adv_7 5_3073..4056_ 327 aa</t>
  </si>
  <si>
    <t>passerine_adenovirus_1 6_4094..5482_ 462 aa</t>
  </si>
  <si>
    <t>psittacine_adv_3 3_1702..2208_ 168 aa</t>
  </si>
  <si>
    <t>snake_adv_1 6_3305..4078_ 257 aa</t>
  </si>
  <si>
    <t>softshell_turtle 2_2254..3357_ 367 aa</t>
  </si>
  <si>
    <t>tern_adv_1 4_2875..3768_ 297 aa</t>
  </si>
  <si>
    <t>thrush_adv 5_5913..7112_ 399 aa</t>
  </si>
  <si>
    <t>turkey_adv_3 3_2329..3432_ 367 aa</t>
  </si>
  <si>
    <t>white_sturgeon_adv 5_7199..8404_ 401 aa</t>
  </si>
  <si>
    <t>8054 15_13218..13898_ 226 aa</t>
  </si>
  <si>
    <t>8158 15_13227..13907_ 226 aa</t>
  </si>
  <si>
    <t>agile_wallaby 21_25606..26241_ 211 aa</t>
  </si>
  <si>
    <t>avian_adv 20_24678..25565_ 295 aa</t>
  </si>
  <si>
    <t>barthadenovirus_caerulei 20_22744..23574_ 276 aa</t>
  </si>
  <si>
    <t>barthadenovirus_gerygones 17_22738..23694_ 318 aa, barthadenovirus_gerygones 18_23794..24435_ 213 aa</t>
  </si>
  <si>
    <t>barthadenovirus_inornati 22_27412..28011_ 199 aa, barthadenovirus_inornati 23_27950..28867_ 305 aa</t>
  </si>
  <si>
    <t>barthadenovirus_schwarzi 20_26342..27154_ 270 aa, barthadenovirus_schwarzi 21_27054..27785_ 243 aa</t>
  </si>
  <si>
    <t>barthadenovirus_varani 22_25604..26134_ 176 aa, barthadenovirus_varani 23_26124..26678_ 184 aa, barthadenovirus_varani 25_26996..28315_ 439 aa</t>
  </si>
  <si>
    <t>barthadenovirus_zootocae 20_24408..25019_ 203 aa</t>
  </si>
  <si>
    <t>bat_adv_2 26_28748..29533_ 261 aa</t>
  </si>
  <si>
    <t>bearded_dragon_adv_1 21_25498..26040_ 180 aa</t>
  </si>
  <si>
    <t>bovine_adv_7 21_23646..24299_ 217 aa</t>
  </si>
  <si>
    <t>canine_adv_2 24_28461..29240_ 259 aa</t>
  </si>
  <si>
    <t>deer_adv_A 22_25257..25961_ 234 aa</t>
  </si>
  <si>
    <t>duck_adv_1 20_24678..25565_ 295 aa</t>
  </si>
  <si>
    <t>lizard_adv_2 22_25381..26058_ 225 aa</t>
  </si>
  <si>
    <t>odocoileus_adv_1 22_25267..25971_ 234 aa</t>
  </si>
  <si>
    <t>ovine_adv_7 20_23853..24566_ 237 aa</t>
  </si>
  <si>
    <t>passerine_adenovirus_1 23_27555..28685_ 376 aa, passerine_adenovirus_1 24_28737..29360_ 207 aa</t>
  </si>
  <si>
    <t>psittacine_adv_3 21_23818..24648_ 276 aa</t>
  </si>
  <si>
    <t>snake_adv_1 22_24232..24885_ 217 aa</t>
  </si>
  <si>
    <t>tern_adv_1 20_24383..25273_ 296 aa</t>
  </si>
  <si>
    <t>thrush_adv 20_27327..28181_ 284 aa</t>
  </si>
  <si>
    <t>8054 25_24000..24365_ 121 aa</t>
  </si>
  <si>
    <t>8158 25_24009..24374_ 121 aa</t>
  </si>
  <si>
    <t>agile_wallaby 11_13998..14342_ 114 aa</t>
  </si>
  <si>
    <t>avian_adv 11_13182..13664_ 160 aa</t>
  </si>
  <si>
    <t>barthadenovirus_caerulei 9_10989..11462_ 157 aa</t>
  </si>
  <si>
    <t>barthadenovirus_gerygones 9_11740..12078_ 112 aa</t>
  </si>
  <si>
    <t>barthadenovirus_inornati 9_13327..13674_ 115 aa</t>
  </si>
  <si>
    <t>barthadenovirus_schwarzi 8_10006..10344_ 112 aa</t>
  </si>
  <si>
    <t>barthadenovirus_varani 12_13838..14323_ 161 aa</t>
  </si>
  <si>
    <t>barthadenovirus_zootocae 10_13393..13875_ 160 aa</t>
  </si>
  <si>
    <t>bat_adv_2 12_14125..14508_ 127 aa</t>
  </si>
  <si>
    <t>bearded_dragon_adv_1 12_13959..14420_ 153 aa</t>
  </si>
  <si>
    <t>bovine_adv_7 11_13338..13673_ 111 aa</t>
  </si>
  <si>
    <t>canine_adv_2 13_13958..14476_ 172 aa</t>
  </si>
  <si>
    <t>chinstrap_penguin 9_11021..11419_ 132 aa</t>
  </si>
  <si>
    <t>deer_adv_A 12_14786..15139_ 117 aa</t>
  </si>
  <si>
    <t>duck_adv_1 11_13182..13664_ 160 aa</t>
  </si>
  <si>
    <t>frog_adv 8_12281..12730_ 149 aa</t>
  </si>
  <si>
    <t>human_adv_a 11_14902..15468_ 188 aa</t>
  </si>
  <si>
    <t>human_adv_c 15_15873..16469_ 198 aa</t>
  </si>
  <si>
    <t>lizard_adv_2 11_13690..14076_ 128 aa</t>
  </si>
  <si>
    <t>odocoileus_adv_1 12_14796..15149_ 117 aa</t>
  </si>
  <si>
    <t>ovine_adv_7 11_13313..13648_ 111 aa</t>
  </si>
  <si>
    <t>passerine_adenovirus_1 12_14942..15289_ 115 aa</t>
  </si>
  <si>
    <t>psittacine_adv_3 10_11945..12406_ 153 aa</t>
  </si>
  <si>
    <t>snake_adv_1 13_13681..14028_ 115 aa</t>
  </si>
  <si>
    <t>softshell_turtle 8_12253..12702_ 149 aa</t>
  </si>
  <si>
    <t>tern_adv_1 10_13104..13559_ 151 aa</t>
  </si>
  <si>
    <t>thrush_adv 11_16177..16647_ 156 aa</t>
  </si>
  <si>
    <t>8054 12_11133..12029_ 298 aa</t>
  </si>
  <si>
    <t>8158 12_11142..12038_ 298 aa</t>
  </si>
  <si>
    <t>agile_wallaby 24_27381..27761_ 126 aa</t>
  </si>
  <si>
    <t>barthadenovirus_gerygones 23_26436..26732_ 98 aa</t>
  </si>
  <si>
    <t>barthadenovirus_schwarzi 29_32139..32510_ 123 aa</t>
  </si>
  <si>
    <t>bearded_dragon_adv_1 25_27332..28072_ 246 aa</t>
  </si>
  <si>
    <t>bovine_adv_7 26_27695..28132_ 145 aa, bovine_adv_7 27_28352..28834_ 160 aa, bovine_adv_7 28_28861..29235_ 124 aa, bovine_adv_7 29_29340..29936_ 198 aa</t>
  </si>
  <si>
    <t>deer_adv_A 26_28997..29455_ 152 aa, deer_adv_A 28_29802..30152_ 116 aa</t>
  </si>
  <si>
    <t>lizard_adv_2 26_27453..28184_ 243 aa</t>
  </si>
  <si>
    <t>odocoileus_adv_1 27_29014..29472_ 152 aa, odocoileus_adv_1 28_29818..30168_ 116 aa</t>
  </si>
  <si>
    <t>ovine_adv_7 23_26688..27203_ 171 aa, ovine_adv_7 25_27845..28279_ 144 aa, ovine_adv_7 27_28486..29016_ 176 aa, ovine_adv_7 28_29130..29459_ 109 aa</t>
  </si>
  <si>
    <t>passerine_adenovirus_1 28_31341..31958_ 205 aa</t>
  </si>
  <si>
    <t>snake_adv_1 26_26317..26523_ 68 aa</t>
  </si>
  <si>
    <t>tern_adv_1 24_26888..27451_ 187 aa</t>
  </si>
  <si>
    <t>thrush_adv 23_29366..30175_ 269 aa</t>
  </si>
  <si>
    <t>8054 13_12150..12599_ 149 aa</t>
  </si>
  <si>
    <t>8158 13_12159..12608_ 149 aa</t>
  </si>
  <si>
    <t>agile_wallaby 23_26950..27390_ 146 aa</t>
  </si>
  <si>
    <t>avian_adv 22_26241..26429_ 62 aa, avian_adv 23_26459..26677_ 72 aa</t>
  </si>
  <si>
    <t>barthadenovirus_caerulei 22_24273..24782_ 169 aa</t>
  </si>
  <si>
    <t>barthadenovirus_gerygones 20_25090..25542_ 150 aa</t>
  </si>
  <si>
    <t>barthadenovirus_inornati 25_29513..29950_ 145 aa</t>
  </si>
  <si>
    <t>barthadenovirus_schwarzi 23_28431..29132_ 233 aa</t>
  </si>
  <si>
    <t>barthadenovirus_zootocae 22_25726..26292_ 188 aa</t>
  </si>
  <si>
    <t>bearded_dragon_adv_1 24_26846..27310_ 154 aa</t>
  </si>
  <si>
    <t>bovine_adv_7 23_24958..25389_ 143 aa</t>
  </si>
  <si>
    <t>deer_adv_A 24_26598..27026_ 142 aa</t>
  </si>
  <si>
    <t>duck_adv_1 22_26241..26429_ 62 aa, duck_adv_1 23_26459..26677_ 72 aa</t>
  </si>
  <si>
    <t>lizard_adv_2 24_26671..27117_ 148 aa</t>
  </si>
  <si>
    <t>odocoileus_adv_1 24_26608..27036_ 142 aa</t>
  </si>
  <si>
    <t>ovine_adv_7 22_25225..25653_ 142 aa</t>
  </si>
  <si>
    <t>passerine_adenovirus_1 26_30058..30513_ 151 aa</t>
  </si>
  <si>
    <t>psittacine_adv_3 23_25347..25922_ 191 aa</t>
  </si>
  <si>
    <t>snake_adv_1 24_25510..25959_ 149 aa</t>
  </si>
  <si>
    <t>tern_adv_1 22_25948..26385_ 145 aa</t>
  </si>
  <si>
    <t>thrush_adv 22_28907..29347_ 146 aa</t>
  </si>
  <si>
    <t>8054 14_12590..13270_ 226 aa</t>
  </si>
  <si>
    <t>8158 14_12599..13279_ 226 aa</t>
  </si>
  <si>
    <t>agile_wallaby 22_26245..26946_ 233 aa</t>
  </si>
  <si>
    <t>avian_adv 21_25513..26241_ 242 aa</t>
  </si>
  <si>
    <t>barthadenovirus_caerulei 21_23574..24257_ 227 aa</t>
  </si>
  <si>
    <t>barthadenovirus_gerygones 19_24344..25090_ 248 aa</t>
  </si>
  <si>
    <t>barthadenovirus_inornati 24_28812..29513_ 233 aa</t>
  </si>
  <si>
    <t>barthadenovirus_schwarzi 22_27739..28431_ 230 aa</t>
  </si>
  <si>
    <t>barthadenovirus_zootocae 21_25040..25723_ 227 aa</t>
  </si>
  <si>
    <t>bearded_dragon_adv_1 23_26155..26838_ 227 aa</t>
  </si>
  <si>
    <t>bovine_adv_7 22_24299..24958_ 219 aa</t>
  </si>
  <si>
    <t>deer_adv_A 23_25939..26598_ 219 aa</t>
  </si>
  <si>
    <t>duck_adv_1 21_25513..26241_ 242 aa</t>
  </si>
  <si>
    <t>human_adv_a 30_31436..32311_ 291 aa</t>
  </si>
  <si>
    <t>human_adv_c 32_33193..34077_ 294 aa</t>
  </si>
  <si>
    <t>lizard_adv_2 23_26042..26680_ 212 aa</t>
  </si>
  <si>
    <t>odocoileus_adv_1 23_25949..26608_ 219 aa</t>
  </si>
  <si>
    <t>ovine_adv_7 21_24563..25225_ 220 aa</t>
  </si>
  <si>
    <t>passerine_adenovirus_1 25_29299..30036_ 245 aa</t>
  </si>
  <si>
    <t>psittacine_adv_3 22_24648..25331_ 227 aa</t>
  </si>
  <si>
    <t>snake_adv_1 23_24869..25519_ 216 aa</t>
  </si>
  <si>
    <t>tern_adv_1 21_25221..26027_ 268 aa</t>
  </si>
  <si>
    <t>thrush_adv 21_28159..28914_ 251 aa</t>
  </si>
  <si>
    <t>8054 34_34753..35865_ 370 aa</t>
  </si>
  <si>
    <t>8158 34_34762..35874_ 370 aa</t>
  </si>
  <si>
    <t>agile_wallaby 4_2348..3655_ 435 aa</t>
  </si>
  <si>
    <t>avian_adv 4_1676..2857_ 393 aa</t>
  </si>
  <si>
    <t>barthadenovirus_inornati 2_1586..2782_ 398 aa</t>
  </si>
  <si>
    <t>barthadenovirus_varani 5_2222..3508_ 428 aa</t>
  </si>
  <si>
    <t>barthadenovirus_zootocae 3_1747..2865_ 372 aa</t>
  </si>
  <si>
    <t>bearded_dragon_adv_1 4_2203..3288_ 361 aa</t>
  </si>
  <si>
    <t>bovine_adv_7 4_1912..3108_ 398 aa</t>
  </si>
  <si>
    <t>deer_adv_A 1_296..1435_ 379 aa, deer_adv_A 5_3286..4431_ 381 aa</t>
  </si>
  <si>
    <t>duck_adv_1 4_1676..2857_ 393 aa</t>
  </si>
  <si>
    <t>lizard_adv_2 4_2211..3323_ 370 aa</t>
  </si>
  <si>
    <t>odocoileus_adv_1 1_306..1445_ 379 aa, odocoileus_adv_1 5_3296..4441_ 381 aa</t>
  </si>
  <si>
    <t>ovine_adv_7 4_1916..3064_ 382 aa</t>
  </si>
  <si>
    <t>passerine_adenovirus_1 5_1911..4049_ 712 aa</t>
  </si>
  <si>
    <t>snake_adv_1 5_2169..3290_ 373 aa</t>
  </si>
  <si>
    <t>tern_adv_1 3_1656..2804_ 382 aa</t>
  </si>
  <si>
    <t>thrush_adv 3_4518..5903_ 461 aa</t>
  </si>
  <si>
    <t>8054 24_23745..23996_ 83 aa</t>
  </si>
  <si>
    <t>8158 24_23754..24005_ 83 aa</t>
  </si>
  <si>
    <t>aviadenovirus_bubonis 17_17766..18290_ 174 aa</t>
  </si>
  <si>
    <t>barthadenovirus_varani 13_14351..14599_ 82 aa</t>
  </si>
  <si>
    <t>barthadenovirus_zootocae 11_13929..14222_ 97 aa</t>
  </si>
  <si>
    <t>bat_adv_2 14_15852..16133_ 93 aa</t>
  </si>
  <si>
    <t>bovine_adv_7 12_13695..13907_ 70 aa</t>
  </si>
  <si>
    <t>cormorant_aviadenovirus 17_18726..19235_ 169 aa</t>
  </si>
  <si>
    <t>deer_adv_A 13_15148..15375_ 75 aa</t>
  </si>
  <si>
    <t>falcon_aviadenovirus 14_17739..18290_ 183 aa</t>
  </si>
  <si>
    <t>fowl_aviadenovirus_b 15_18943..19557_ 204 aa</t>
  </si>
  <si>
    <t>human_adv_a 13_16568..16786_ 72 aa</t>
  </si>
  <si>
    <t>human_adv_c 17_17676..17918_ 80 aa</t>
  </si>
  <si>
    <t>odocoileus_adv_1 13_15158..15385_ 75 aa</t>
  </si>
  <si>
    <t>ovine_adv_7 12_13669..13884_ 71 aa</t>
  </si>
  <si>
    <t>red_eared_slider_adv_partial 6_11365..11643_ 92 aa</t>
  </si>
  <si>
    <t>softshell_turtle 9_12734..12907_ 57 aa</t>
  </si>
  <si>
    <t>tern_adv_1 11_13568..13765_ 65 aa</t>
  </si>
  <si>
    <t>8054 36_36311..37285_ 324 aa</t>
  </si>
  <si>
    <t>8158 36_36320..37294_ 324 aa</t>
  </si>
  <si>
    <t>agile_wallaby 2_825..1856_ 343 aa</t>
  </si>
  <si>
    <t>avian_adv 1_251..1111_ 286 aa</t>
  </si>
  <si>
    <t>barthadenovirus_varani 2_734..1750_ 338 aa</t>
  </si>
  <si>
    <t>barthadenovirus_zootocae 1_241..1281_ 346 aa</t>
  </si>
  <si>
    <t>bearded_dragon_adv_1 1_365..1333_ 322 aa</t>
  </si>
  <si>
    <t>bovine_adv_7 1_236..1156_ 306 aa</t>
  </si>
  <si>
    <t>deer_adv_A 2_1474..2403_ 309 aa</t>
  </si>
  <si>
    <t>duck_adv_1 1_251..1111_ 286 aa</t>
  </si>
  <si>
    <t>lizard_adv_2 1_333..1400_ 355 aa</t>
  </si>
  <si>
    <t>odocoileus_adv_1 2_1484..2413_ 309 aa</t>
  </si>
  <si>
    <t>ovine_adv_7 1_238..1098_ 286 aa</t>
  </si>
  <si>
    <t>passerine_adenovirus_1 1_250..1161_ 303 aa</t>
  </si>
  <si>
    <t>psittacine_adv_3 1_293..1210_ 305 aa</t>
  </si>
  <si>
    <t>snake_adv_1 2_334..1365_ 343 aa</t>
  </si>
  <si>
    <t>tern_adv_1 1_236..1174_ 312 aa</t>
  </si>
  <si>
    <t>thrush_adv 2_3131..4126_ 331 aa</t>
  </si>
  <si>
    <t>8054 17_14995..15165_ 56 aa</t>
  </si>
  <si>
    <t>8158 17_15004..15174_ 56 aa</t>
  </si>
  <si>
    <t>agile_wallaby 18_22865..23029_ 54 aa</t>
  </si>
  <si>
    <t>avian_adv 18_22503..22667_ 54 aa</t>
  </si>
  <si>
    <t>barthadenovirus_caerulei 17_19971..20135_ 54 aa</t>
  </si>
  <si>
    <t>barthadenovirus_varani 20_23655..23843_ 62 aa</t>
  </si>
  <si>
    <t>barthadenovirus_zootocae 18_23011..23178_ 55 aa</t>
  </si>
  <si>
    <t>bearded_dragon_adv_1 19_23717..23902_ 61 aa</t>
  </si>
  <si>
    <t>bovine_adv_7 19_22065..22229_ 54 aa</t>
  </si>
  <si>
    <t>deer_adv_A 20_23685..23849_ 54 aa</t>
  </si>
  <si>
    <t>duck_adv_1 18_22503..22667_ 54 aa</t>
  </si>
  <si>
    <t>lizard_adv_2 19_22897..23073_ 58 aa</t>
  </si>
  <si>
    <t>odocoileus_adv_1 20_23695..23859_ 54 aa</t>
  </si>
  <si>
    <t>psittacine_adv_3 18_20909..21073_ 54 aa</t>
  </si>
  <si>
    <t>tern_adv_1 18_22142..22306_ 54 aa</t>
  </si>
  <si>
    <t>thrush_adv 18_25176..25340_ 54 aa</t>
  </si>
  <si>
    <t>8054 35_35911..36312_ 133 aa</t>
  </si>
  <si>
    <t>8158 35_35920..36321_ 133 aa</t>
  </si>
  <si>
    <t>avian_adv 2_1175..1651_ 158 aa</t>
  </si>
  <si>
    <t>barthadenovirus_caerulei 1_214..741_ 175 aa</t>
  </si>
  <si>
    <t>barthadenovirus_inornati 1_846..1520_ 224 aa</t>
  </si>
  <si>
    <t>barthadenovirus_varani 3_1788..2225_ 145 aa</t>
  </si>
  <si>
    <t>bearded_dragon_adv_1 3_1717..2175_ 152 aa</t>
  </si>
  <si>
    <t>bovine_adv_7 3_1536..1910_ 124 aa</t>
  </si>
  <si>
    <t>deer_adv_A 4_2860..3240_ 126 aa</t>
  </si>
  <si>
    <t>duck_adv_1 2_1175..1651_ 158 aa</t>
  </si>
  <si>
    <t>lizard_adv_2 3_1771..2169_ 132 aa</t>
  </si>
  <si>
    <t>odocoileus_adv_1 4_2870..3250_ 126 aa</t>
  </si>
  <si>
    <t>ovine_adv_7 3_1490..1873_ 127 aa</t>
  </si>
  <si>
    <t>passerine_adenovirus_1 3_1175..1849_ 224 aa</t>
  </si>
  <si>
    <t>psittacine_adv_3 2_1177..1713_ 178 aa</t>
  </si>
  <si>
    <t>tern_adv_1 2_1209..1625_ 138 aa</t>
  </si>
  <si>
    <t>barthadenovirus_caerulei 30_28347..29075_ 242 aa, barthadenovirus_caerulei 31_29126..29857_ 243 aa</t>
  </si>
  <si>
    <t>cormorant_aviadenovirus 1_560..1279_ 239 aa</t>
  </si>
  <si>
    <t>falcon_aviadenovirus 31_35996..36718_ 240 aa</t>
  </si>
  <si>
    <t>psittacine_adv_3 31_29445..30185_ 246 aa, psittacine_adv_3 32_30255..30983_ 242 aa</t>
  </si>
  <si>
    <t>tern_adv_1 28_28872..29558_ 228 aa, tern_adv_1 29_29658..30296_ 212 aa, tern_adv_1 30_30424..31146_ 240 aa</t>
  </si>
  <si>
    <t>8054 4_2767..4077_ 436 aa, 8054 6_5551..6933_ 460 aa, 8054 7_6965..8368_ 467 aa</t>
  </si>
  <si>
    <t>8158 4_2776..4086_ 436 aa, 8158 6_5560..6942_ 460 aa, 8158 7_6974..8377_ 467 aa</t>
  </si>
  <si>
    <t>barthadenovirus_zootocae 30_30352..31740_ 462 aa</t>
  </si>
  <si>
    <t>snake_adv_1 27_26607..27266_ 219 aa</t>
  </si>
  <si>
    <t>avian_adv 27_28349..28807_ 152 aa</t>
  </si>
  <si>
    <t>barthadenovirus_caerulei 24_25423..25995_ 190 aa</t>
  </si>
  <si>
    <t>barthadenovirus_zootocae 25_27497..28084_ 195 aa</t>
  </si>
  <si>
    <t>bearded_dragon_adv_1 27_28487..28948_ 153 aa</t>
  </si>
  <si>
    <t>duck_adv_1 27_28349..28807_ 152 aa</t>
  </si>
  <si>
    <t>lizard_adv_2 28_29726..30169_ 147 aa</t>
  </si>
  <si>
    <t>psittacine_adv_3 26_26401..26970_ 189 aa</t>
  </si>
  <si>
    <t>tern_adv_1 25_27508..27966_ 152 aa</t>
  </si>
  <si>
    <t>8054 3_1309..2739_ 476 aa, 8054 5_4140..5492_ 450 aa</t>
  </si>
  <si>
    <t>8158 3_1318..2748_ 476 aa, 8158 5_4149..5501_ 450 aa</t>
  </si>
  <si>
    <t>barthadenovirus_zootocae 27_28542..29843_ 433 aa</t>
  </si>
  <si>
    <t>lizard_adv_2 29_30421..31836_ 471 aa</t>
  </si>
  <si>
    <t>aviadenovirus_bubonis 30_33505..34458_ 317 aa, aviadenovirus_bubonis 34_38281..39156_ 291 aa</t>
  </si>
  <si>
    <t>cormorant_aviadenovirus 28_34454..35398_ 314 aa</t>
  </si>
  <si>
    <t>falcon_aviadenovirus 28_32833..33618_ 261 aa, falcon_aviadenovirus 30_34815..35747_ 310 aa</t>
  </si>
  <si>
    <t>fowl_aviadenovirus_b 25_33929..34831_ 300 aa</t>
  </si>
  <si>
    <t>avian_adv 25_27133..27636_ 167 aa, avian_adv 26_27714..28226_ 170 aa</t>
  </si>
  <si>
    <t>cormorant_aviadenovirus 25_30046..31884_ 612 aa, cormorant_aviadenovirus 26_31946..33163_ 405 aa</t>
  </si>
  <si>
    <t>duck_adv_1 25_27133..27636_ 167 aa, duck_adv_1 26_27714..28226_ 170 aa</t>
  </si>
  <si>
    <t>agile_wallaby 25_27903..28508_ 201 aa</t>
  </si>
  <si>
    <t>bovine_adv_7 25_27090..27692_ 200 aa</t>
  </si>
  <si>
    <t>deer_adv_A 25_28371..28994_ 207 aa</t>
  </si>
  <si>
    <t>odocoileus_adv_1 26_28388..29011_ 207 aa</t>
  </si>
  <si>
    <t>ovine_adv_7 24_27244..27840_ 198 aa</t>
  </si>
  <si>
    <t>aviadenovirus_bubonis 32_35218..35589_ 123 aa</t>
  </si>
  <si>
    <t>cormorant_aviadenovirus 29_35593..39150_ 1185 aa</t>
  </si>
  <si>
    <t>fowl_aviadenovirus_b 27_35070..37367_ 765 aa, fowl_aviadenovirus_b 30_42479..44971_ 830 aa</t>
  </si>
  <si>
    <t>thrush_adv 1_327..2501_ 724 aa</t>
  </si>
  <si>
    <t>avian_adv 28_28845..29159_ 104 aa</t>
  </si>
  <si>
    <t>barthadenovirus_gerygones 25_27013..27378_ 121 aa</t>
  </si>
  <si>
    <t>duck_adv_1 28_28845..29159_ 104 aa</t>
  </si>
  <si>
    <t>passerine_adenovirus_1 29_32271..32633_ 120 aa</t>
  </si>
  <si>
    <t>tern_adv_1 26_28072..28359_ 95 aa</t>
  </si>
  <si>
    <t>chinstrap_penguin 16_20000..20890_ 296 aa</t>
  </si>
  <si>
    <t>corella_adv_1 14_21360..22277_ 305 aa</t>
  </si>
  <si>
    <t>frog_adv 15_21211..22128_ 305 aa</t>
  </si>
  <si>
    <t>softshell_turtle 16_21195..22100_ 301 aa</t>
  </si>
  <si>
    <t>turkey_adv_3 16_21212..22114_ 300 aa</t>
  </si>
  <si>
    <t>chinstrap_penguin 20_23552..24055_ 167 aa</t>
  </si>
  <si>
    <t>corella_adv_1 18_25878..26372_ 164 aa</t>
  </si>
  <si>
    <t>frog_adv 19_24365..24919_ 184 aa</t>
  </si>
  <si>
    <t>softshell_turtle 20_24375..24932_ 185 aa</t>
  </si>
  <si>
    <t>turkey_adv_3 20_25226..25723_ 165 aa</t>
  </si>
  <si>
    <t>8054 11_9767..11038_ 423 aa</t>
  </si>
  <si>
    <t>8158 11_9776..11047_ 423 aa</t>
  </si>
  <si>
    <t>barthadenovirus_zootocae 24_26551..27498_ 315 aa</t>
  </si>
  <si>
    <t>lizard_adv_2 27_28451..29698_ 415 aa</t>
  </si>
  <si>
    <t>aviadenovirus_bubonis 5_2329..3147_ 272 aa</t>
  </si>
  <si>
    <t>cormorant_aviadenovirus 6_3274..4107_ 277 aa</t>
  </si>
  <si>
    <t>falcon_aviadenovirus 4_2904..3713_ 269 aa</t>
  </si>
  <si>
    <t>fowl_aviadenovirus_b 3_2135..2971_ 278 aa</t>
  </si>
  <si>
    <t>aviadenovirus_bubonis 6_3178..3735_ 185 aa</t>
  </si>
  <si>
    <t>cormorant_aviadenovirus 7_4216..4749_ 177 aa</t>
  </si>
  <si>
    <t>falcon_aviadenovirus 5_3727..4305_ 192 aa</t>
  </si>
  <si>
    <t>fowl_aviadenovirus_b 5_3049..3642_ 197 aa</t>
  </si>
  <si>
    <t>aviadenovirus_bubonis 8_4318..5100_ 260 aa</t>
  </si>
  <si>
    <t>cormorant_aviadenovirus 8_4935..5717_ 260 aa</t>
  </si>
  <si>
    <t>falcon_aviadenovirus 6_4443..5288_ 281 aa</t>
  </si>
  <si>
    <t>fowl_aviadenovirus_b 6_4516..5313_ 265 aa</t>
  </si>
  <si>
    <t>aviadenovirus_bubonis 9_5123..5770_ 215 aa</t>
  </si>
  <si>
    <t>cormorant_aviadenovirus 9_5809..6684_ 291 aa</t>
  </si>
  <si>
    <t>falcon_aviadenovirus 7_5266..6159_ 297 aa</t>
  </si>
  <si>
    <t>fowl_aviadenovirus_b 7_5489..6184_ 231 aa</t>
  </si>
  <si>
    <t>aviadenovirus_bubonis 26_29228..30511_ 427 aa, aviadenovirus_bubonis 27_30524..32422_ 632 aa</t>
  </si>
  <si>
    <t>falcon_aviadenovirus 25_30540..31862_ 440 aa</t>
  </si>
  <si>
    <t>fowl_aviadenovirus_b 23_30994..32658_ 554 aa</t>
  </si>
  <si>
    <t>aviadenovirus_bubonis 28_32531..33097_ 188 aa</t>
  </si>
  <si>
    <t>cormorant_aviadenovirus 27_33237..33929_ 230 aa</t>
  </si>
  <si>
    <t>falcon_aviadenovirus 26_31906..32487_ 193 aa</t>
  </si>
  <si>
    <t>fowl_aviadenovirus_b 24_32728..33318_ 196 aa</t>
  </si>
  <si>
    <t>barthadenovirus_gerygones 16_20830..22689_ 619 aa</t>
  </si>
  <si>
    <t>corella_adv_1 1_321..2003_ 560 aa</t>
  </si>
  <si>
    <t>passerine_adenovirus_1 22_25185..27509_ 774 aa</t>
  </si>
  <si>
    <t>turkey_adv_3 1_206..1948_ 580 aa</t>
  </si>
  <si>
    <t>bat_adv_2 3_1474..2016_ 180 aa</t>
  </si>
  <si>
    <t>canine_adv_2 3_1461..1970_ 169 aa</t>
  </si>
  <si>
    <t>human_adv_a 2_1542..2033_ 163 aa</t>
  </si>
  <si>
    <t>human_adv_c 4_1624..2238_ 204 aa</t>
  </si>
  <si>
    <t>bat_adv_2 4_1836..3170_ 444 aa</t>
  </si>
  <si>
    <t>canine_adv_2 4_1823..3157_ 444 aa</t>
  </si>
  <si>
    <t>human_adv_a 3_1847..3295_ 482 aa</t>
  </si>
  <si>
    <t>human_adv_c 5_2016..3503_ 495 aa</t>
  </si>
  <si>
    <t>bat_adv_2 5_3237..3548_ 103 aa</t>
  </si>
  <si>
    <t>canine_adv_2 5_3225..3536_ 103 aa</t>
  </si>
  <si>
    <t>human_adv_a 4_3374..3808_ 144 aa</t>
  </si>
  <si>
    <t>human_adv_c 7_3600..4022_ 140 aa</t>
  </si>
  <si>
    <t>bat_adv_2 13_14582..15895_ 437 aa</t>
  </si>
  <si>
    <t>canine_adv_2 14_14541..15827_ 428 aa</t>
  </si>
  <si>
    <t>human_adv_a 12_15500..16543_ 347 aa</t>
  </si>
  <si>
    <t>human_adv_c 16_16506..17648_ 380 aa</t>
  </si>
  <si>
    <t>chinstrap_penguin 17_20900..21160_ 86 aa</t>
  </si>
  <si>
    <t>frog_adv 16_22107..22331_ 74 aa</t>
  </si>
  <si>
    <t>softshell_turtle 17_22079..22312_ 77 aa</t>
  </si>
  <si>
    <t>turkey_adv_3 17_22258..22518_ 86 aa</t>
  </si>
  <si>
    <t>cormorant_aviadenovirus 23_28704..28997_ 97 aa</t>
  </si>
  <si>
    <t>falcon_aviadenovirus 20_27234..27518_ 94 aa</t>
  </si>
  <si>
    <t>snake_adv_1 19_21809..22021_ 70 aa</t>
  </si>
  <si>
    <t>white_sturgeon_adv 18_26914..27192_ 92 aa</t>
  </si>
  <si>
    <t>aviadenovirus_bubonis 3_1302..1739_ 145 aa</t>
  </si>
  <si>
    <t>falcon_aviadenovirus 3_1982..2473_ 163 aa</t>
  </si>
  <si>
    <t>fowl_aviadenovirus_b 2_921..1403_ 160 aa</t>
  </si>
  <si>
    <t>avian_adv 29_29144..29521_ 125 aa</t>
  </si>
  <si>
    <t>duck_adv_1 29_29144..29521_ 125 aa</t>
  </si>
  <si>
    <t>tern_adv_1 27_28366..28698_ 110 aa</t>
  </si>
  <si>
    <t>barthadenovirus_inornati 26_30348..30920_ 190 aa, barthadenovirus_inornati 27_31406..32044_ 212 aa</t>
  </si>
  <si>
    <t>barthadenovirus_schwarzi 24_29350..29991_ 213 aa</t>
  </si>
  <si>
    <t>chinstrap_penguin 19_22847..23518_ 223 aa</t>
  </si>
  <si>
    <t>corella_adv_1 17_25128..25844_ 238 aa</t>
  </si>
  <si>
    <t>turkey_adv_3 19_24534..25190_ 218 aa</t>
  </si>
  <si>
    <t>chinstrap_penguin 21_24048..24335_ 95 aa</t>
  </si>
  <si>
    <t>corella_adv_1 19_26373..26777_ 134 aa</t>
  </si>
  <si>
    <t>turkey_adv_3 21_25693..25989_ 98 aa</t>
  </si>
  <si>
    <t>white_sturgeon_adv 2_1610..3691_ 693 aa, white_sturgeon_adv 3_3707..4924_ 405 aa, white_sturgeon_adv 4_4966..7236_ 756 aa</t>
  </si>
  <si>
    <t>8054 1_79..855_ 258 aa</t>
  </si>
  <si>
    <t>8158 1_88..864_ 258 aa</t>
  </si>
  <si>
    <t>8054 2_902..1042_ 46 aa</t>
  </si>
  <si>
    <t>8158 2_911..1051_ 46 aa</t>
  </si>
  <si>
    <t>8054 8_8433..9068_ 211 aa</t>
  </si>
  <si>
    <t>8158 8_8442..9077_ 211 aa</t>
  </si>
  <si>
    <t>8054 9_9019..9450_ 143 aa</t>
  </si>
  <si>
    <t>8158 9_9028..9459_ 143 aa</t>
  </si>
  <si>
    <t>8054 10_9456..9635_ 59 aa</t>
  </si>
  <si>
    <t>8158 10_9465..9644_ 59 aa</t>
  </si>
  <si>
    <t>8054 29_28605..28763_ 52 aa</t>
  </si>
  <si>
    <t>8158 29_28614..28772_ 52 aa</t>
  </si>
  <si>
    <t>8054 30_28773..28916_ 47 aa</t>
  </si>
  <si>
    <t>8158 30_28782..28925_ 47 aa</t>
  </si>
  <si>
    <t>aviadenovirus_bubonis 33_35664..37013_ 449 aa</t>
  </si>
  <si>
    <t>falcon_aviadenovirus 33_37281..38453_ 390 aa</t>
  </si>
  <si>
    <t>avian_adv 3_1234..1656_ 140 aa</t>
  </si>
  <si>
    <t>duck_adv_1 3_1234..1656_ 140 aa</t>
  </si>
  <si>
    <t>avian_adv 24_26883..27152_ 89 aa</t>
  </si>
  <si>
    <t>duck_adv_1 24_26883..27152_ 89 aa</t>
  </si>
  <si>
    <t>avian_adv 30_29824..30402_ 192 aa</t>
  </si>
  <si>
    <t>duck_adv_1 30_29824..30402_ 192 aa</t>
  </si>
  <si>
    <t>avian_adv 31_30465..30695_ 76 aa</t>
  </si>
  <si>
    <t>duck_adv_1 31_30465..30695_ 76 aa</t>
  </si>
  <si>
    <t>avian_adv 32_30814..31854_ 346 aa</t>
  </si>
  <si>
    <t>duck_adv_1 32_30814..31854_ 346 aa</t>
  </si>
  <si>
    <t>avian_adv 33_31936..32397_ 153 aa</t>
  </si>
  <si>
    <t>duck_adv_1 33_31936..32397_ 153 aa</t>
  </si>
  <si>
    <t>avian_adv 34_32614..32985_ 123 aa</t>
  </si>
  <si>
    <t>duck_adv_1 34_32614..32985_ 123 aa</t>
  </si>
  <si>
    <t>barthadenovirus_caerulei 3_1210..1572_ 120 aa</t>
  </si>
  <si>
    <t>psittacine_adv_3 4_2174..2536_ 120 aa</t>
  </si>
  <si>
    <t>barthadenovirus_caerulei 10_11413..11652_ 79 aa</t>
  </si>
  <si>
    <t>psittacine_adv_3 11_12215..12697_ 160 aa</t>
  </si>
  <si>
    <t>barthadenovirus_caerulei 29_27754..28329_ 191 aa</t>
  </si>
  <si>
    <t>psittacine_adv_3 30_28859..29419_ 186 aa</t>
  </si>
  <si>
    <t>barthadenovirus_caerulei 32_29943..30086_ 47 aa</t>
  </si>
  <si>
    <t>psittacine_adv_3 33_31100..31339_ 79 aa</t>
  </si>
  <si>
    <t>barthadenovirus_inornati 17_22293..22769_ 158 aa</t>
  </si>
  <si>
    <t>barthadenovirus_schwarzi 15_18983..19186_ 67 aa</t>
  </si>
  <si>
    <t>barthadenovirus_varani 29_30625..31053_ 142 aa, barthadenovirus_varani 30_31053..31448_ 131 aa</t>
  </si>
  <si>
    <t>barthadenovirus_zootocae 2_1314..1685_ 123 aa</t>
  </si>
  <si>
    <t>bearded_dragon_adv_1 2_1376..1744_ 122 aa</t>
  </si>
  <si>
    <t>bat_adv_2 1_490..1065_ 191 aa</t>
  </si>
  <si>
    <t>canine_adv_2 1_500..1024_ 174 aa</t>
  </si>
  <si>
    <t>bat_adv_2 21_25081..25431_ 116 aa</t>
  </si>
  <si>
    <t>canine_adv_2 21_24920..25279_ 119 aa</t>
  </si>
  <si>
    <t>bat_adv_2 22_25454..26626_ 390 aa</t>
  </si>
  <si>
    <t>canine_adv_2 22_25317..26411_ 364 aa</t>
  </si>
  <si>
    <t>bat_adv_2 25_28508..28747_ 79 aa</t>
  </si>
  <si>
    <t>human_adv_a 29_31183..31407_ 74 aa</t>
  </si>
  <si>
    <t>bat_adv_2 27_29534..29986_ 150 aa</t>
  </si>
  <si>
    <t>canine_adv_2 25_29248..29622_ 124 aa</t>
  </si>
  <si>
    <t>bat_adv_2 28_29862..30275_ 137 aa</t>
  </si>
  <si>
    <t>canine_adv_2 26_29627..29998_ 123 aa</t>
  </si>
  <si>
    <t>bat_adv_2 29_30302..30661_ 119 aa</t>
  </si>
  <si>
    <t>canine_adv_2 27_30028..30432_ 134 aa</t>
  </si>
  <si>
    <t>bat_adv_2 30_30746..31141_ 131 aa</t>
  </si>
  <si>
    <t>canine_adv_2 28_30464..30859_ 131 aa</t>
  </si>
  <si>
    <t>bovine_adv_7 2_1198..1551_ 117 aa</t>
  </si>
  <si>
    <t>ovine_adv_7 2_1143..1505_ 120 aa</t>
  </si>
  <si>
    <t>chinstrap_penguin 2_625..984_ 119 aa</t>
  </si>
  <si>
    <t>turkey_adv_3 2_1960..2307_ 115 aa</t>
  </si>
  <si>
    <t>deer_adv_A 3_2449..2841_ 130 aa</t>
  </si>
  <si>
    <t>odocoileus_adv_1 3_2459..2851_ 130 aa</t>
  </si>
  <si>
    <t>deer_adv_A 29_30175..30378_ 67 aa</t>
  </si>
  <si>
    <t>odocoileus_adv_1 29_30191..30394_ 67 aa</t>
  </si>
  <si>
    <t>falcon_aviadenovirus 22_28233..28544_ 103 aa</t>
  </si>
  <si>
    <t>fowl_aviadenovirus_b 22_30702..30995_ 97 aa</t>
  </si>
  <si>
    <t>frog_adv 1_630..983_ 117 aa</t>
  </si>
  <si>
    <t>softshell_turtle 1_626..982_ 118 aa</t>
  </si>
  <si>
    <t>frog_adv 18_23711..24274_ 187 aa</t>
  </si>
  <si>
    <t>softshell_turtle 19_23688..24248_ 186 aa</t>
  </si>
  <si>
    <t>human_adv_a 1_503..1099_ 198 aa</t>
  </si>
  <si>
    <t>human_adv_c 2_559..1119_ 186 aa</t>
  </si>
  <si>
    <t>human_adv_a 21_26313..26630_ 105 aa</t>
  </si>
  <si>
    <t>human_adv_c 24_27899..28222_ 107 aa</t>
  </si>
  <si>
    <t>human_adv_a 24_28207..28482_ 91 aa</t>
  </si>
  <si>
    <t>human_adv_c 28_29781..30056_ 91 aa</t>
  </si>
  <si>
    <t>human_adv_a 26_28804..29190_ 128 aa</t>
  </si>
  <si>
    <t>human_adv_c 30_30444..30830_ 128 aa</t>
  </si>
  <si>
    <t>human_adv_a 31_32244..32606_ 120 aa</t>
  </si>
  <si>
    <t>human_adv_c 34_33998..34342_ 114 aa</t>
  </si>
  <si>
    <t>human_adv_a 32_32613..32963_ 116 aa</t>
  </si>
  <si>
    <t>human_adv_c 35_34356..34706_ 116 aa</t>
  </si>
  <si>
    <t>human_adv_a 33_32960..33355_ 131 aa</t>
  </si>
  <si>
    <t>human_adv_c 37_34703..35113_ 136 aa</t>
  </si>
  <si>
    <t>human_adv_a 34_33387..33770_ 127 aa</t>
  </si>
  <si>
    <t>human_adv_c 38_35146..35532_ 128 aa</t>
  </si>
  <si>
    <t>lizard_adv_2 2_1415..1774_ 119 aa</t>
  </si>
  <si>
    <t>snake_adv_1 3_1381..1737_ 118 aa</t>
  </si>
  <si>
    <t>lizard_adv_2 25_27155..27460_ 101 aa</t>
  </si>
  <si>
    <t>snake_adv_1 25_25992..26330_ 112 aa</t>
  </si>
  <si>
    <t>thrush_adv 26_31561..32109_ 182 aa, thrush_adv 27_32297..32695_ 132 aa</t>
  </si>
  <si>
    <t>white_sturgeon_adv 25_31915..32445_ 176 aa, white_sturgeon_adv 26_32551..33399_ 282 aa</t>
  </si>
  <si>
    <t>white_sturgeon_adv 34_37857..38744_ 295 aa, white_sturgeon_adv 43_45204..46337_ 377 aa</t>
  </si>
  <si>
    <t>white_sturgeon_adv 37_40311..41417_ 368 aa, white_sturgeon_adv 38_41540..42382_ 280 aa</t>
  </si>
  <si>
    <t>OG0000105</t>
  </si>
  <si>
    <t>OG0000106</t>
  </si>
  <si>
    <t>OG0000107</t>
  </si>
  <si>
    <t>OG0000108</t>
  </si>
  <si>
    <t>OG0000109</t>
  </si>
  <si>
    <t>OG0000110</t>
  </si>
  <si>
    <t>OG0000111</t>
  </si>
  <si>
    <t>OG0000112</t>
  </si>
  <si>
    <t>OG0000113</t>
  </si>
  <si>
    <t>OG0000114</t>
  </si>
  <si>
    <t>OG0000115</t>
  </si>
  <si>
    <t>OG0000116</t>
  </si>
  <si>
    <t>OG0000117</t>
  </si>
  <si>
    <t>OG0000118</t>
  </si>
  <si>
    <t>OG0000119</t>
  </si>
  <si>
    <t>OG0000120</t>
  </si>
  <si>
    <t>OG0000121</t>
  </si>
  <si>
    <t>OG0000122</t>
  </si>
  <si>
    <t>OG0000123</t>
  </si>
  <si>
    <t>OG0000124</t>
  </si>
  <si>
    <t>OG0000125</t>
  </si>
  <si>
    <t>OG0000126</t>
  </si>
  <si>
    <t>OG0000127</t>
  </si>
  <si>
    <t>OG0000128</t>
  </si>
  <si>
    <t>OG0000129</t>
  </si>
  <si>
    <t>OG0000130</t>
  </si>
  <si>
    <t>OG0000131</t>
  </si>
  <si>
    <t>OG0000132</t>
  </si>
  <si>
    <t>OG0000133</t>
  </si>
  <si>
    <t>OG0000134</t>
  </si>
  <si>
    <t>OG0000135</t>
  </si>
  <si>
    <t>OG0000136</t>
  </si>
  <si>
    <t>OG0000137</t>
  </si>
  <si>
    <t>OG0000138</t>
  </si>
  <si>
    <t>OG0000139</t>
  </si>
  <si>
    <t>OG0000140</t>
  </si>
  <si>
    <t>OG0000141</t>
  </si>
  <si>
    <t>OG0000142</t>
  </si>
  <si>
    <t>OG0000143</t>
  </si>
  <si>
    <t>OG0000144</t>
  </si>
  <si>
    <t>OG0000145</t>
  </si>
  <si>
    <t>OG0000146</t>
  </si>
  <si>
    <t>OG0000147</t>
  </si>
  <si>
    <t>OG0000148</t>
  </si>
  <si>
    <t>OG0000149</t>
  </si>
  <si>
    <t>OG0000150</t>
  </si>
  <si>
    <t>OG0000151</t>
  </si>
  <si>
    <t>OG0000152</t>
  </si>
  <si>
    <t>OG0000153</t>
  </si>
  <si>
    <t>OG0000154</t>
  </si>
  <si>
    <t>OG0000155</t>
  </si>
  <si>
    <t>OG0000156</t>
  </si>
  <si>
    <t>OG0000157</t>
  </si>
  <si>
    <t>OG0000158</t>
  </si>
  <si>
    <t>OG0000159</t>
  </si>
  <si>
    <t>OG0000160</t>
  </si>
  <si>
    <t>OG0000161</t>
  </si>
  <si>
    <t>OG0000162</t>
  </si>
  <si>
    <t>OG0000163</t>
  </si>
  <si>
    <t>OG0000164</t>
  </si>
  <si>
    <t>OG0000165</t>
  </si>
  <si>
    <t>OG0000166</t>
  </si>
  <si>
    <t>OG0000167</t>
  </si>
  <si>
    <t>OG0000168</t>
  </si>
  <si>
    <t>OG0000169</t>
  </si>
  <si>
    <t>OG0000170</t>
  </si>
  <si>
    <t>OG0000171</t>
  </si>
  <si>
    <t>OG0000172</t>
  </si>
  <si>
    <t>OG0000173</t>
  </si>
  <si>
    <t>OG0000174</t>
  </si>
  <si>
    <t>OG0000175</t>
  </si>
  <si>
    <t>OG0000176</t>
  </si>
  <si>
    <t>OG0000177</t>
  </si>
  <si>
    <t>OG0000178</t>
  </si>
  <si>
    <t>OG0000179</t>
  </si>
  <si>
    <t>OG0000180</t>
  </si>
  <si>
    <t>OG0000181</t>
  </si>
  <si>
    <t>OG0000182</t>
  </si>
  <si>
    <t>OG0000183</t>
  </si>
  <si>
    <t>OG0000184</t>
  </si>
  <si>
    <t>OG0000185</t>
  </si>
  <si>
    <t>OG0000186</t>
  </si>
  <si>
    <t>OG0000187</t>
  </si>
  <si>
    <t>OG0000188</t>
  </si>
  <si>
    <t>OG0000189</t>
  </si>
  <si>
    <t>OG0000190</t>
  </si>
  <si>
    <t>OG0000191</t>
  </si>
  <si>
    <t>OG0000192</t>
  </si>
  <si>
    <t>OG0000193</t>
  </si>
  <si>
    <t>OG0000194</t>
  </si>
  <si>
    <t>OG0000195</t>
  </si>
  <si>
    <t>OG0000196</t>
  </si>
  <si>
    <t>OG0000197</t>
  </si>
  <si>
    <t>OG0000198</t>
  </si>
  <si>
    <t>OG0000199</t>
  </si>
  <si>
    <t>OG0000200</t>
  </si>
  <si>
    <t>OG0000201</t>
  </si>
  <si>
    <t>OG0000202</t>
  </si>
  <si>
    <t>OG0000203</t>
  </si>
  <si>
    <t>OG0000204</t>
  </si>
  <si>
    <t>OG0000205</t>
  </si>
  <si>
    <t>OG0000206</t>
  </si>
  <si>
    <t>OG0000207</t>
  </si>
  <si>
    <t>OG0000208</t>
  </si>
  <si>
    <t>OG0000209</t>
  </si>
  <si>
    <t>OG0000210</t>
  </si>
  <si>
    <t>OG0000211</t>
  </si>
  <si>
    <t>OG0000212</t>
  </si>
  <si>
    <t>OG0000213</t>
  </si>
  <si>
    <t>OG0000214</t>
  </si>
  <si>
    <t>OG0000215</t>
  </si>
  <si>
    <t>OG0000216</t>
  </si>
  <si>
    <t>OG0000217</t>
  </si>
  <si>
    <t>OG0000218</t>
  </si>
  <si>
    <t>OG0000219</t>
  </si>
  <si>
    <t>OG0000220</t>
  </si>
  <si>
    <t>OG0000221</t>
  </si>
  <si>
    <t>OG0000222</t>
  </si>
  <si>
    <t>OG0000223</t>
  </si>
  <si>
    <t>OG0000224</t>
  </si>
  <si>
    <t>OG0000225</t>
  </si>
  <si>
    <t>OG0000226</t>
  </si>
  <si>
    <t>OG0000227</t>
  </si>
  <si>
    <t>OG0000228</t>
  </si>
  <si>
    <t>OG0000229</t>
  </si>
  <si>
    <t>OG0000230</t>
  </si>
  <si>
    <t>OG0000231</t>
  </si>
  <si>
    <t>OG0000232</t>
  </si>
  <si>
    <t>OG0000233</t>
  </si>
  <si>
    <t>OG0000234</t>
  </si>
  <si>
    <t>OG0000235</t>
  </si>
  <si>
    <t>OG0000236</t>
  </si>
  <si>
    <t>OG0000237</t>
  </si>
  <si>
    <t>OG0000238</t>
  </si>
  <si>
    <t>OG0000239</t>
  </si>
  <si>
    <t>OG0000240</t>
  </si>
  <si>
    <t>OG0000241</t>
  </si>
  <si>
    <t>OG0000242</t>
  </si>
  <si>
    <t>OG0000243</t>
  </si>
  <si>
    <t>OG0000244</t>
  </si>
  <si>
    <t>OG0000245</t>
  </si>
  <si>
    <t>OG0000246</t>
  </si>
  <si>
    <t>OG0000247</t>
  </si>
  <si>
    <t>OG0000248</t>
  </si>
  <si>
    <t>OG0000249</t>
  </si>
  <si>
    <t>OG0000250</t>
  </si>
  <si>
    <t>OG0000251</t>
  </si>
  <si>
    <t>OG0000252</t>
  </si>
  <si>
    <t>OG0000253</t>
  </si>
  <si>
    <t>OG0000254</t>
  </si>
  <si>
    <t>OG0000255</t>
  </si>
  <si>
    <t>OG0000256</t>
  </si>
  <si>
    <t>OG0000257</t>
  </si>
  <si>
    <t>OG0000258</t>
  </si>
  <si>
    <t>OG0000259</t>
  </si>
  <si>
    <t>OG0000260</t>
  </si>
  <si>
    <t>OG0000261</t>
  </si>
  <si>
    <t>OG0000262</t>
  </si>
  <si>
    <t>OG0000263</t>
  </si>
  <si>
    <t>OG0000264</t>
  </si>
  <si>
    <t>OG0000265</t>
  </si>
  <si>
    <t>OG0000266</t>
  </si>
  <si>
    <t>OG0000267</t>
  </si>
  <si>
    <t>OG0000268</t>
  </si>
  <si>
    <t>OG0000269</t>
  </si>
  <si>
    <t>OG0000270</t>
  </si>
  <si>
    <t>OG0000271</t>
  </si>
  <si>
    <t>OG0000272</t>
  </si>
  <si>
    <t>OG0000273</t>
  </si>
  <si>
    <t>OG0000274</t>
  </si>
  <si>
    <t>OG0000275</t>
  </si>
  <si>
    <t>OG0000276</t>
  </si>
  <si>
    <t>OG0000277</t>
  </si>
  <si>
    <t>OG0000278</t>
  </si>
  <si>
    <t>OG0000279</t>
  </si>
  <si>
    <t>OG0000280</t>
  </si>
  <si>
    <t>OG0000281</t>
  </si>
  <si>
    <t>OG0000282</t>
  </si>
  <si>
    <t>OG0000283</t>
  </si>
  <si>
    <t>OG0000284</t>
  </si>
  <si>
    <t>OG0000285</t>
  </si>
  <si>
    <t>OG0000286</t>
  </si>
  <si>
    <t>OG0000287</t>
  </si>
  <si>
    <t>OG0000288</t>
  </si>
  <si>
    <t>OG0000289</t>
  </si>
  <si>
    <t>Fiber protein</t>
  </si>
  <si>
    <t>Fiber protein 1</t>
  </si>
  <si>
    <t>Sialidase</t>
  </si>
  <si>
    <t>Pre-protein VI</t>
  </si>
  <si>
    <t>Penton protein</t>
  </si>
  <si>
    <t>Pre-hexon-linking protein IIIa</t>
  </si>
  <si>
    <t>Packaging protein 3</t>
  </si>
  <si>
    <t>Preterminal protein</t>
  </si>
  <si>
    <t>DNA polymerase</t>
  </si>
  <si>
    <t>Shutoff protein</t>
  </si>
  <si>
    <t>DNA-binding protein</t>
  </si>
  <si>
    <t>Protease</t>
  </si>
  <si>
    <t>Hexon protein</t>
  </si>
  <si>
    <t>Pre-hexon-linking protein VIII</t>
  </si>
  <si>
    <t>Packaging protein 1</t>
  </si>
  <si>
    <t>Early E4 30 kDa protein</t>
  </si>
  <si>
    <t>Protein E4.3</t>
  </si>
  <si>
    <t>Pre-histone-like nucleoprotein</t>
  </si>
  <si>
    <t>Protein RH1</t>
  </si>
  <si>
    <t>Protein E4.1</t>
  </si>
  <si>
    <t>Early 4 ORF6 protein</t>
  </si>
  <si>
    <t>Early E4 34 kDa protein</t>
  </si>
  <si>
    <t>Protein E4.2</t>
  </si>
  <si>
    <t>Hexon-interlacing protein LH3</t>
  </si>
  <si>
    <t>Late L2 mu core protein</t>
  </si>
  <si>
    <t>Pre-core protein X</t>
  </si>
  <si>
    <t>Structural protein p32K</t>
  </si>
  <si>
    <t>Probable U-exon protein</t>
  </si>
  <si>
    <t>Protein LH2</t>
  </si>
  <si>
    <t>Protein 105R</t>
  </si>
  <si>
    <t>Protein GAM-1</t>
  </si>
  <si>
    <t>Uncharacterized protein ORF20</t>
  </si>
  <si>
    <t>Fiber protein 2</t>
  </si>
  <si>
    <t>Uncharacterized protein ORF19</t>
  </si>
  <si>
    <t>Virulence factor MDV010</t>
  </si>
  <si>
    <t>Uncharacterized protein ORF2</t>
  </si>
  <si>
    <t>Uncharacterized protein ORF13</t>
  </si>
  <si>
    <t>Uncharacterized protein ORF12</t>
  </si>
  <si>
    <t>Uncharacterized protein ORF22</t>
  </si>
  <si>
    <t>E1B protein, small T-antigen</t>
  </si>
  <si>
    <t>E1B 55 kDa protein</t>
  </si>
  <si>
    <t>Hexon-interlacing protein</t>
  </si>
  <si>
    <t>Core-capsid bridging protein</t>
  </si>
  <si>
    <t>Putative protein 33K</t>
  </si>
  <si>
    <t>Deoxyuridine 5'-triphosphate nucleotidohydrolase</t>
  </si>
  <si>
    <t>Probable 9-O-acetyl-N-acetylneuraminic acid deacetylase</t>
  </si>
  <si>
    <t>E3 ubiquitin-protein ligase TRIM21</t>
  </si>
  <si>
    <t>Protein LH1</t>
  </si>
  <si>
    <t>Early E1A protein</t>
  </si>
  <si>
    <t>Early E3 13.3 kDa protein</t>
  </si>
  <si>
    <t>Early E3 22.1 kDa glycoprotein</t>
  </si>
  <si>
    <t>Early E3 22.2 kDa glycoprotein</t>
  </si>
  <si>
    <t>Early 4 ORF6/7 control protein</t>
  </si>
  <si>
    <t>Early E3A 12.1 kDa protein</t>
  </si>
  <si>
    <t>Early E3A 12.5 kDa protein</t>
  </si>
  <si>
    <t>Early E3B 10.4 kDa protein</t>
  </si>
  <si>
    <t>Pre-early 3 receptor internalization and degradation alpha protein</t>
  </si>
  <si>
    <t>Early E3 15.3 kDa protein</t>
  </si>
  <si>
    <t>Early E3B 14 kDa protein</t>
  </si>
  <si>
    <t>Early 4 ORF4 protein</t>
  </si>
  <si>
    <t>Probable early E4 13 kDa protein</t>
  </si>
  <si>
    <t>Early 4 ORF3 protein</t>
  </si>
  <si>
    <t>Probable early E4 11 kDa protein</t>
  </si>
  <si>
    <t>Early 4 ORF2 protein</t>
  </si>
  <si>
    <t>E4-ORF1</t>
  </si>
  <si>
    <t>Early 4 ORF1 protein</t>
  </si>
  <si>
    <t>Protein ORF1</t>
  </si>
  <si>
    <t>Sulfotransferase 1A1</t>
  </si>
  <si>
    <t>Protein 33K</t>
  </si>
  <si>
    <t>Early E3B 12.7 kDa protein</t>
  </si>
  <si>
    <t>U exon protein</t>
  </si>
  <si>
    <t>Uncharacterized protein D-172</t>
  </si>
  <si>
    <t>Uncharacterized protein F-121</t>
  </si>
  <si>
    <t>Early E3 18.5 kDa glycoprotein</t>
  </si>
  <si>
    <t>Adenovirus death protein</t>
  </si>
  <si>
    <t>Early 3 receptor internalization and degradation beta protein</t>
  </si>
  <si>
    <t>Blast ID</t>
  </si>
  <si>
    <t>8054_16_13931..14977__348_aa</t>
  </si>
  <si>
    <t>8054_23_23025..23663__212_aa</t>
  </si>
  <si>
    <t>8054_26_24406..25788__460_aa</t>
  </si>
  <si>
    <t>8054_27_25822..27651__609_aa</t>
  </si>
  <si>
    <t>8054_28_27608..28615__335_aa</t>
  </si>
  <si>
    <t>8054_31_28996..30429__477_aa</t>
  </si>
  <si>
    <t>8054_32_30462..33665__1067_aa</t>
  </si>
  <si>
    <t>8054_19_16204..18348__714_aa</t>
  </si>
  <si>
    <t>8054_20_18388..19659__423_aa</t>
  </si>
  <si>
    <t>8054_21_19681..20286__201_aa</t>
  </si>
  <si>
    <t>8054_22_20283..23006__907_aa</t>
  </si>
  <si>
    <t>8054_18_15176..15844__222_aa</t>
  </si>
  <si>
    <t>8054_33_33371..34723__450_aa</t>
  </si>
  <si>
    <t>8054_15_13218..13898__226_aa</t>
  </si>
  <si>
    <t>8054_25_24000..24365__121_aa</t>
  </si>
  <si>
    <t>8054_13_12150..12599__149_aa</t>
  </si>
  <si>
    <t>8054_14_12590..13270__226_aa</t>
  </si>
  <si>
    <t>8054_34_34753..35865__370_aa</t>
  </si>
  <si>
    <t>8054_24_23745..23996__83_aa</t>
  </si>
  <si>
    <t>8054_36_36311..37285__324_aa</t>
  </si>
  <si>
    <t>8054_17_14995..15165__56_aa</t>
  </si>
  <si>
    <t>8054_35_35911..36312__133_aa</t>
  </si>
  <si>
    <t>8158_16_13940..14986__348_aa</t>
  </si>
  <si>
    <t>8158_23_23034..23672__212_aa</t>
  </si>
  <si>
    <t>8158_26_24415..25797__460_aa</t>
  </si>
  <si>
    <t>8158_27_25831..27660__609_aa</t>
  </si>
  <si>
    <t>8158_28_27617..28624__335_aa</t>
  </si>
  <si>
    <t>8158_31_29005..30438__477_aa</t>
  </si>
  <si>
    <t>8158_32_30471..33674__1067_aa</t>
  </si>
  <si>
    <t>8158_19_16213..18357__714_aa</t>
  </si>
  <si>
    <t>8158_20_18397..19668__423_aa</t>
  </si>
  <si>
    <t>8158_21_19690..20295__201_aa</t>
  </si>
  <si>
    <t>8158_22_20292..23015__907_aa</t>
  </si>
  <si>
    <t>8158_18_15185..15853__222_aa</t>
  </si>
  <si>
    <t>8158_33_33380..34732__450_aa</t>
  </si>
  <si>
    <t>8158_15_13227..13907__226_aa</t>
  </si>
  <si>
    <t>8158_25_24009..24374__121_aa</t>
  </si>
  <si>
    <t>8158_13_12159..12608__149_aa</t>
  </si>
  <si>
    <t>8158_14_12599..13279__226_aa</t>
  </si>
  <si>
    <t>8158_34_34762..35874__370_aa</t>
  </si>
  <si>
    <t>8158_24_23754..24005__83_aa</t>
  </si>
  <si>
    <t>8158_36_36320..37294__324_aa</t>
  </si>
  <si>
    <t>8158_17_15004..15174__56_aa</t>
  </si>
  <si>
    <t>8158_35_35920..36321__133_aa</t>
  </si>
  <si>
    <t>Protein RH1 (note that this came from other BLAST values, not 8158 itself)</t>
  </si>
  <si>
    <t>8158 Sequence ID</t>
  </si>
  <si>
    <t>8054 Sequence ID</t>
  </si>
  <si>
    <t>Functional Annotation</t>
  </si>
  <si>
    <t>Orthogroup ID (Highlighted Red: Duplicate BLAST Searches)</t>
  </si>
  <si>
    <t>OG0000000.fa</t>
  </si>
  <si>
    <t>OG0000001.fa</t>
  </si>
  <si>
    <t>OG0000002.fa</t>
  </si>
  <si>
    <t>OG0000003.fa</t>
  </si>
  <si>
    <t>OG0000004.fa</t>
  </si>
  <si>
    <t>OG0000005.fa</t>
  </si>
  <si>
    <t>OG0000006.fa</t>
  </si>
  <si>
    <t>OG0000007.fa</t>
  </si>
  <si>
    <t>OG0000008.fa</t>
  </si>
  <si>
    <t>OG0000009.fa</t>
  </si>
  <si>
    <t>OG0000010.fa</t>
  </si>
  <si>
    <t>OG0000011.fa</t>
  </si>
  <si>
    <t>OG0000012.fa</t>
  </si>
  <si>
    <t>OG0000013.fa</t>
  </si>
  <si>
    <t>OG0000014.fa</t>
  </si>
  <si>
    <t>OG0000015.fa</t>
  </si>
  <si>
    <t>OG0000016.fa</t>
  </si>
  <si>
    <t>OG0000017.fa</t>
  </si>
  <si>
    <t>OG0000018.fa</t>
  </si>
  <si>
    <t>OG0000019.fa</t>
  </si>
  <si>
    <t>OG0000020.fa</t>
  </si>
  <si>
    <t>OG0000021.fa</t>
  </si>
  <si>
    <t>OG0000022.fa</t>
  </si>
  <si>
    <t>OG0000024.fa</t>
  </si>
  <si>
    <t>OG0000026.fa</t>
  </si>
  <si>
    <t>OG0000034.fa</t>
  </si>
  <si>
    <t>OG0000054.fa</t>
  </si>
  <si>
    <t>OG0000055.fa</t>
  </si>
  <si>
    <t>OG0000056.fa</t>
  </si>
  <si>
    <t>OG0000057.fa</t>
  </si>
  <si>
    <t>OG0000058.fa</t>
  </si>
  <si>
    <t>OG0000059.fa</t>
  </si>
  <si>
    <t>OG0000060.fa</t>
  </si>
  <si>
    <t>8054_16</t>
  </si>
  <si>
    <t>8054_23</t>
  </si>
  <si>
    <t>8054_26</t>
  </si>
  <si>
    <t>8054_27</t>
  </si>
  <si>
    <t>8054_28</t>
  </si>
  <si>
    <t>8054_31</t>
  </si>
  <si>
    <t>8054_32</t>
  </si>
  <si>
    <t>8054_19</t>
  </si>
  <si>
    <t>8054_20</t>
  </si>
  <si>
    <t>8054_21</t>
  </si>
  <si>
    <t>8054_22</t>
  </si>
  <si>
    <t>8054_18</t>
  </si>
  <si>
    <t>8054_33</t>
  </si>
  <si>
    <t>8054_15</t>
  </si>
  <si>
    <t>8054_25</t>
  </si>
  <si>
    <t>8054_12</t>
  </si>
  <si>
    <t>8054_13</t>
  </si>
  <si>
    <t>8054_14</t>
  </si>
  <si>
    <t>8054_34</t>
  </si>
  <si>
    <t>8054_24</t>
  </si>
  <si>
    <t>8054_36</t>
  </si>
  <si>
    <t>8054_17</t>
  </si>
  <si>
    <t>8054_35</t>
  </si>
  <si>
    <t>8054_4</t>
  </si>
  <si>
    <t>8054_6</t>
  </si>
  <si>
    <t>8054_7</t>
  </si>
  <si>
    <t>8054_3</t>
  </si>
  <si>
    <t>8054_5</t>
  </si>
  <si>
    <t>8054_11</t>
  </si>
  <si>
    <t>8054_1</t>
  </si>
  <si>
    <t>8054_2</t>
  </si>
  <si>
    <t>8054_8</t>
  </si>
  <si>
    <t>8054_9</t>
  </si>
  <si>
    <t>8054_10</t>
  </si>
  <si>
    <t>8054_29</t>
  </si>
  <si>
    <t>8054_30</t>
  </si>
  <si>
    <t>8158_16</t>
  </si>
  <si>
    <t>8158_23</t>
  </si>
  <si>
    <t>8158_26</t>
  </si>
  <si>
    <t>8158_27</t>
  </si>
  <si>
    <t>8158_28</t>
  </si>
  <si>
    <t>8158_31</t>
  </si>
  <si>
    <t>8158_32</t>
  </si>
  <si>
    <t>8158_19</t>
  </si>
  <si>
    <t>8158_20</t>
  </si>
  <si>
    <t>8158_21</t>
  </si>
  <si>
    <t>8158_22</t>
  </si>
  <si>
    <t>8158_18</t>
  </si>
  <si>
    <t>8158_33</t>
  </si>
  <si>
    <t>8158_15</t>
  </si>
  <si>
    <t>8158_25</t>
  </si>
  <si>
    <t>8158_12</t>
  </si>
  <si>
    <t>8158_13</t>
  </si>
  <si>
    <t>8158_14</t>
  </si>
  <si>
    <t>8158_34</t>
  </si>
  <si>
    <t>8158_24</t>
  </si>
  <si>
    <t>8158_36</t>
  </si>
  <si>
    <t>8158_17</t>
  </si>
  <si>
    <t>8158_35</t>
  </si>
  <si>
    <t>8158_4</t>
  </si>
  <si>
    <t>8158_6</t>
  </si>
  <si>
    <t>8158_7</t>
  </si>
  <si>
    <t>8158_3</t>
  </si>
  <si>
    <t>8158_5</t>
  </si>
  <si>
    <t>8158_11</t>
  </si>
  <si>
    <t>8158_1</t>
  </si>
  <si>
    <t>8158_2</t>
  </si>
  <si>
    <t>8158_8</t>
  </si>
  <si>
    <t>8158_9</t>
  </si>
  <si>
    <t>8158_10</t>
  </si>
  <si>
    <t>8158_29</t>
  </si>
  <si>
    <t>8158_30</t>
  </si>
  <si>
    <t>Protein E4.2 (possibly; could also be E4 34KDA protein or E4 ORF6 Protein)</t>
  </si>
  <si>
    <t>Fiber protein most likely but could also be sialidase</t>
  </si>
  <si>
    <t>Late L2 mu core protein or Pre-Core Protein X</t>
  </si>
  <si>
    <t>NO BLAST IDENTITY</t>
  </si>
  <si>
    <t>Orthogroup Identity</t>
  </si>
  <si>
    <t>8054 Identity</t>
  </si>
  <si>
    <t>8158 Identity</t>
  </si>
  <si>
    <t>Blast Identity</t>
  </si>
  <si>
    <t>Barthadenovirus</t>
  </si>
  <si>
    <t>OM367996.1</t>
  </si>
  <si>
    <t>U40839.3</t>
  </si>
  <si>
    <t>OR233592.1</t>
  </si>
  <si>
    <t>MT674683.1</t>
  </si>
  <si>
    <t>OQ792214.1</t>
  </si>
  <si>
    <t>Y09598.1</t>
  </si>
  <si>
    <t>MT138098.1</t>
  </si>
  <si>
    <t>BK066448.1</t>
  </si>
  <si>
    <t>BK066675.1</t>
  </si>
  <si>
    <t>OQ986611.1</t>
  </si>
  <si>
    <t>MT138101.1</t>
  </si>
  <si>
    <t>MT138103.1</t>
  </si>
  <si>
    <t>OK283055</t>
  </si>
  <si>
    <t>MT603863.1</t>
  </si>
  <si>
    <t>MK227353</t>
  </si>
  <si>
    <t>AF224336.1</t>
  </si>
  <si>
    <t>KP144329.1</t>
  </si>
  <si>
    <t>PQ083072.1</t>
  </si>
  <si>
    <t>MT050041.1</t>
  </si>
  <si>
    <t>MN901942.2</t>
  </si>
  <si>
    <t>OP405339.1</t>
  </si>
  <si>
    <t>KJ452173.1</t>
  </si>
  <si>
    <t>KJ156523.1</t>
  </si>
  <si>
    <t>KY468406.1</t>
  </si>
  <si>
    <t>KJ675568.1</t>
  </si>
  <si>
    <t>DQ106414.1</t>
  </si>
  <si>
    <t>OL692338.1</t>
  </si>
  <si>
    <t>Falcon aviadenovirus A</t>
  </si>
  <si>
    <t>NC.76126</t>
  </si>
  <si>
    <t>NC1405.1</t>
  </si>
  <si>
    <t>NC1460.1</t>
  </si>
  <si>
    <t>U77082.1</t>
  </si>
  <si>
    <t>JN252129.1</t>
  </si>
  <si>
    <t>MK101347.1</t>
  </si>
  <si>
    <t>LC638697.1</t>
  </si>
  <si>
    <t>OR529407.1</t>
  </si>
  <si>
    <t>Aviadenovirus phalacrocoracidae</t>
  </si>
  <si>
    <t>Genbank Acccession ID</t>
  </si>
  <si>
    <t>Bearded dragon Adenovirus 1</t>
  </si>
  <si>
    <t>White sturgeon Adenovirus 1</t>
  </si>
  <si>
    <t>Bovine adenovirus 7</t>
  </si>
  <si>
    <t>Deer atadenovirus A</t>
  </si>
  <si>
    <t>Duck adenovirus 1</t>
  </si>
  <si>
    <t>Lizard adenovirus 2</t>
  </si>
  <si>
    <t>Odocoileus adenovirus 1</t>
  </si>
  <si>
    <t>Psittacine adenovirus 3</t>
  </si>
  <si>
    <t>Tern atadenovirus 1</t>
  </si>
  <si>
    <t>Fowl aviadenovirus B</t>
  </si>
  <si>
    <t>Bat adenovirus 2</t>
  </si>
  <si>
    <t>Turkey Adenovirus 3</t>
  </si>
  <si>
    <t>Canine Adenovirus 1</t>
  </si>
  <si>
    <t>Human Adenovirus A</t>
  </si>
  <si>
    <t>Human Adenovirus C</t>
  </si>
  <si>
    <t>Corella Adenovirus 1</t>
  </si>
  <si>
    <t>Frog Adenovirus 1</t>
  </si>
  <si>
    <t>Chinstap Penguin Adenovirus 2</t>
  </si>
  <si>
    <t>Soft-Shelled Turtle Adenovirus</t>
  </si>
  <si>
    <t>Red-eared Slider Adenovirus</t>
  </si>
  <si>
    <t>Barthadenovirus zootherae</t>
  </si>
  <si>
    <t>Barthadenovirus mellis</t>
  </si>
  <si>
    <t>Avian adenovirus</t>
  </si>
  <si>
    <t>Agile wallaby atadenovirus</t>
  </si>
  <si>
    <t>Barthadenovirus caerulei</t>
  </si>
  <si>
    <t>Barthadenovirus zootocae</t>
  </si>
  <si>
    <t>Barthadenovirus varani</t>
  </si>
  <si>
    <t>Barthadenovirus gerygones</t>
  </si>
  <si>
    <t>Barthadenovirus inornati</t>
  </si>
  <si>
    <t>Barthadenovirus schwartzi</t>
  </si>
  <si>
    <t>Snake Adenovirus 1</t>
  </si>
  <si>
    <t>Ovine adenovirus 7</t>
  </si>
  <si>
    <t>Strain</t>
  </si>
  <si>
    <t>Partition-Specific Value</t>
  </si>
  <si>
    <t>Gene ID</t>
  </si>
  <si>
    <t>Gene Code</t>
  </si>
  <si>
    <t>E41</t>
  </si>
  <si>
    <t>E42</t>
  </si>
  <si>
    <t>E43</t>
  </si>
  <si>
    <t>SPIKE</t>
  </si>
  <si>
    <t>UXP</t>
  </si>
  <si>
    <t>CAP8</t>
  </si>
  <si>
    <t>SHUT</t>
  </si>
  <si>
    <t>DNB2</t>
  </si>
  <si>
    <t>PRO</t>
  </si>
  <si>
    <t>CAPSH</t>
  </si>
  <si>
    <t>CAP6</t>
  </si>
  <si>
    <t>L2MU</t>
  </si>
  <si>
    <t>NP</t>
  </si>
  <si>
    <t>CAPSP</t>
  </si>
  <si>
    <t>CAP3</t>
  </si>
  <si>
    <t>PKG3</t>
  </si>
  <si>
    <t>TERM</t>
  </si>
  <si>
    <t>DPOL</t>
  </si>
  <si>
    <t>PKG1</t>
  </si>
  <si>
    <t>LH3</t>
  </si>
  <si>
    <t>LH2</t>
  </si>
  <si>
    <t>P32K</t>
  </si>
  <si>
    <t>RH1</t>
  </si>
  <si>
    <t>NODE_1_length_37535_cov_39.780474       609     .       C       G       2160.04 .       AC=1;AF=1;AN=1;DP=57;FS=0;MLEAC=1;MLEAF=1;MQ=60;QD=25.36;SOR=0.728      GT:AD:DP:GQ:PL     1:0,57:57:99:2170,0</t>
  </si>
  <si>
    <t>NODE_1_length_37535_cov_39.780474       808     .       A       G       2553.04 .       AC=1;AF=1;AN=1;DP=68;FS=0;MLEAC=1;MLEAF=1;MQ=60;QD=28.73;SOR=0.818      GT:AD:DP:GQ:PL     1:0,66:66:99:2563,0</t>
  </si>
  <si>
    <t>NODE_1_length_37535_cov_39.780474       2622    .       C       A       1961.04 .       AC=1;AF=1;AN=1;DP=53;FS=0;MLEAC=1;MLEAF=1;MQ=60;QD=30.97;SOR=0.853      GT:AD:DP:GQ:PL     1:0,52:52:99:1971,0</t>
  </si>
  <si>
    <t>NODE_1_length_37535_cov_39.780474       2751    .       C       G       2072.04 .       AC=1;AF=1;AN=1;DP=55;FS=0;MLEAC=1;MLEAF=1;MQ=60;QD=27.24;SOR=1.22       GT:AD:DP:GQ:PL     1:0,54:54:99:2082,0</t>
  </si>
  <si>
    <t>NODE_1_length_37535_cov_39.780474       3471    .       C       A       2106.04 .       AC=1;AF=1;AN=1;DP=58;FS=0;MLEAC=1;MLEAF=1;MQ=60;QD=28.2;SOR=0.877       GT:AD:DP:GQ:PL     1:0,57:57:99:2116,0</t>
  </si>
  <si>
    <t>NODE_1_length_37535_cov_39.780474       4283    .       C       T       2953.04 .       AC=1;AF=1;AN=1;BaseQRankSum=2.23;DP=82;FS=0;MLEAC=1;MLEAF=1;MQ=60;MQRankSum=0;QD=25;ReadPosRankSum=0.477;SOR=0.278 GT:AD:DP:GQ:PL  1:1,79:80:99:2963,0</t>
  </si>
  <si>
    <t>NODE_1_length_37535_cov_39.780474       5162    .       G       T       2342.04 .       AC=1;AF=1;AN=1;DP=66;FS=0;MLEAC=1;MLEAF=1;MQ=60;QD=29.56;SOR=0.793      GT:AD:DP:GQ:PL     1:0,61:61:99:2352,0</t>
  </si>
  <si>
    <t>NODE_1_length_37535_cov_39.780474       5246    .       T       C       2544.04 .       AC=1;AF=1;AN=1;DP=70;FS=0;MLEAC=1;MLEAF=1;MQ=60;QD=30.62;SOR=0.917      GT:AD:DP:GQ:PL     1:0,67:67:99:2554,0</t>
  </si>
  <si>
    <t>NODE_1_length_37535_cov_39.780474       6119    .       A       G       3002.04 .       AC=1;AF=1;AN=1;DP=78;FS=0;MLEAC=1;MLEAF=1;MQ=60;QD=28.17;SOR=0.828      GT:AD:DP:GQ:PL     1:0,77:77:99:3012,0</t>
  </si>
  <si>
    <t>NODE_1_length_37535_cov_39.780474       6880    .       C       A       3203.04 .       AC=1;AF=1;AN=1;DP=92;FS=0;MLEAC=1;MLEAF=1;MQ=60;QD=26.8;SOR=1.09        GT:AD:DP:GQ:PL     1:0,87:87:99:3213,0</t>
  </si>
  <si>
    <t>NODE_1_length_37535_cov_39.780474       7776    .       T       C       2231.04 .       AC=1;AF=1;AN=1;DP=55;FS=0;MLEAC=1;MLEAF=1;MQ=60;QD=26;SOR=1.118 GT:AD:DP:GQ:PL  1:0,54:54:99:2241,0</t>
  </si>
  <si>
    <t>NODE_1_length_37535_cov_39.780474       8153    .       A       G       2313.04 .       AC=1;AF=1;AN=1;DP=61;FS=0;MLEAC=1;MLEAF=1;MQ=60;QD=30.02;SOR=0.986      GT:AD:DP:GQ:PL     1:0,60:60:99:2323,0</t>
  </si>
  <si>
    <t>NODE_1_length_37535_cov_39.780474       8831    .       G       A       2871.04 .       AC=1;AF=1;AN=1;DP=77;FS=0;MLEAC=1;MLEAF=1;MQ=60;QD=31.98;SOR=1.121      GT:AD:DP:GQ:PL     1:0,76:76:99:2881,0</t>
  </si>
  <si>
    <t>NODE_1_length_37535_cov_39.780474       9936    .       A       G       2956.04 .       AC=1;AF=1;AN=1;BaseQRankSum=-0.663;DP=69;FS=0;MLEAC=1;MLEAF=1;MQ=60;MQRankSum=0;QD=27.51;ReadPosRankSum=-0.854;SOR=0.446   GT:AD:DP:GQ:PL  1:1,68:69:99:2966,0</t>
  </si>
  <si>
    <t>NODE_1_length_37535_cov_39.780474       9946    .       G       A       3006.04 .       AC=1;AF=1;AN=1;BaseQRankSum=1.66;DP=72;FS=0;MLEAC=1;MLEAF=1;MQ=60;MQRankSum=0;QD=29.11;ReadPosRankSum=-0.12;SOR=1.011      GT:AD:DP:GQ:PL  1:2,70:72:99:3016,0</t>
  </si>
  <si>
    <t>NODE_1_length_37535_cov_39.780474       11166   .       C       A       2667.04 .       AC=1;AF=1;AN=1;DP=80;FS=0;MLEAC=1;MLEAF=1;MQ=60;QD=28.08;SOR=0.927      GT:AD:DP:GQ:PL     1:0,74:74:99:2677,0</t>
  </si>
  <si>
    <t>NODE_1_length_37535_cov_39.780474       11663   .       G       A       2125.04 .       AC=1;AF=1;AN=1;DP=55;FS=0;MLEAC=1;MLEAF=1;MQ=60;QD=23.23;SOR=0.693      GT:AD:DP:GQ:PL     1:0,54:54:99:2135,0</t>
  </si>
  <si>
    <t>NODE_1_length_37535_cov_39.780474       12704   .       T       C       2354.04 .       AC=1;AF=1;AN=1;DP=63;FS=0;MLEAC=1;MLEAF=1;MQ=60;QD=29.03;SOR=0.976      GT:AD:DP:GQ:PL     1:0,62:62:99:2364,0</t>
  </si>
  <si>
    <t>NODE_1_length_37535_cov_39.780474       13296   .       T       G       2262.04 .       AC=1;AF=1;AN=1;DP=61;FS=0;MLEAC=1;MLEAF=1;MQ=60;QD=30.67;SOR=0.726      GT:AD:DP:GQ:PL     1:0,59:59:99:2272,0</t>
  </si>
  <si>
    <t>NODE_1_length_37535_cov_39.780474       15431   .       T       G       2490.04 .       AC=1;AF=1;AN=1;DP=71;FS=0;MLEAC=1;MLEAF=1;MQ=60;QD=26.61;SOR=0.849      GT:AD:DP:GQ:PL     1:0,67:67:99:2500,0</t>
  </si>
  <si>
    <t>NODE_1_length_37535_cov_39.780474       15672   .       G       T       2273.04 .       AC=1;AF=1;AN=1;DP=68;FS=0;MLEAC=1;MLEAF=1;MQ=60;QD=29.2;SOR=0.933       GT:AD:DP:GQ:PL     1:0,63:63:99:2283,0</t>
  </si>
  <si>
    <t>NODE_1_length_37535_cov_39.780474       16738   .       C       T       1999.04 .       AC=1;AF=1;AN=1;DP=55;FS=0;MLEAC=1;MLEAF=1;MQ=60;QD=28.55;SOR=1.022      GT:AD:DP:GQ:PL     1:0,54:54:99:2009,0</t>
  </si>
  <si>
    <t>NODE_1_length_37535_cov_39.780474       16840   .       C       G       1925.04 .       AC=1;AF=1;AN=1;DP=54;FS=0;MLEAC=1;MLEAF=1;MQ=60;QD=34.42;SOR=0.981      GT:AD:DP:GQ:PL     1:0,53:53:99:1935,0</t>
  </si>
  <si>
    <t>NODE_1_length_37535_cov_39.780474       16870   .       T       C       2043.04 .       AC=1;AF=1;AN=1;BaseQRankSum=2.17;DP=59;FS=0;MLEAC=1;MLEAF=1;MQ=60;MQRankSum=0;QD=28.53;ReadPosRankSum=0.274;SOR=0.457      GT:AD:DP:GQ:PL  1:1,56:57:99:2053,0</t>
  </si>
  <si>
    <t>NODE_1_length_37535_cov_39.780474       16908   .       G       T       2263.04 .       AC=1;AF=1;AN=1;DP=61;FS=0;MLEAC=1;MLEAF=1;MQ=60;QD=27.23;SOR=1.217      GT:AD:DP:GQ:PL     1:0,59:59:99:2273,0</t>
  </si>
  <si>
    <t>NODE_1_length_37535_cov_39.780474       16930   .       A       G       2671.04 .       AC=1;AF=1;AN=1;DP=62;FS=0;MLEAC=1;MLEAF=1;MQ=60;QD=29.52;SOR=1.727      GT:AD:DP:GQ:PL     1:0,61:61:99:2681,0</t>
  </si>
  <si>
    <t>NODE_1_length_37535_cov_39.780474       16939   .       A       G       2497.04 .       AC=1;AF=1;AN=1;DP=56;FS=0;MLEAC=1;MLEAF=1;MQ=60;QD=33.47;SOR=1.528      GT:AD:DP:GQ:PL     1:0,56:56:99:2507,0</t>
  </si>
  <si>
    <t>NODE_1_length_37535_cov_39.780474       16991   .       T       C       2585.04 .       AC=1;AF=1;AN=1;DP=71;FS=0;MLEAC=1;MLEAF=1;MQ=60;QD=32.91;SOR=1.244      GT:AD:DP:GQ:PL     1:0,70:70:99:2595,0</t>
  </si>
  <si>
    <t>NODE_1_length_37535_cov_39.780474       17470   .       G       T       2901.04 .       AC=1;AF=1;AN=1;DP=75;FS=0;MLEAC=1;MLEAF=1;MQ=60;QD=31.31;SOR=1.148      GT:AD:DP:GQ:PL     1:0,72:72:99:2911,0</t>
  </si>
  <si>
    <t>NODE_1_length_37535_cov_39.780474       20607   .       T       C       2291.04 .       AC=1;AF=1;AN=1;DP=61;FS=0;MLEAC=1;MLEAF=1;MQ=60;QD=31.45;SOR=0.941      GT:AD:DP:GQ:PL     1:0,61:61:99:2301,0</t>
  </si>
  <si>
    <t>NODE_1_length_37535_cov_39.780474       22935   .       T       G       2239.04 .       AC=1;AF=1;AN=1;DP=63;FS=0;MLEAC=1;MLEAF=1;MQ=60;QD=33.27;SOR=0.899      GT:AD:DP:GQ:PL     1:0,62:62:99:2249,0</t>
  </si>
  <si>
    <t>NODE_1_length_37535_cov_39.780474       25056   .       C       T       2963.04 .       AC=1;AF=1;AN=1;DP=69;FS=0;MLEAC=1;MLEAF=1;MQ=60;QD=31.26;SOR=0.849      GT:AD:DP:GQ:PL     1:0,67:67:99:2973,0</t>
  </si>
  <si>
    <t>NODE_1_length_37535_cov_39.780474       25057   .       C       T       2963.04 .       AC=1;AF=1;AN=1;DP=69;FS=0;MLEAC=1;MLEAF=1;MQ=60;QD=27.76;SOR=0.849      GT:AD:DP:GQ:PL     1:0,67:67:99:2973,0</t>
  </si>
  <si>
    <t>NODE_1_length_37535_cov_39.780474       29085   .       T       C       1988.04 .       AC=1;AF=1;AN=1;DP=55;FS=0;MLEAC=1;MLEAF=1;MQ=60;QD=29.09;SOR=0.981      GT:AD:DP:GQ:PL     1:0,53:53:99:1998,0</t>
  </si>
  <si>
    <t>NODE_1_length_37535_cov_39.780474       30201   .       C       T       2435.04 .       AC=1;AF=1;AN=1;DP=65;FS=0;MLEAC=1;MLEAF=1;MQ=60;QD=26.08;SOR=1.044      GT:AD:DP:GQ:PL     1:0,64:64:99:2445,0</t>
  </si>
  <si>
    <t>NODE_1_length_37535_cov_39.780474       33488   .       G       T       2231.04 .       AC=1;AF=1;AN=1;BaseQRankSum=-0.625;DP=68;FS=3.979;MLEAC=1;MLEAF=1;MQ=60;MQRankSum=0;QD=34.32;ReadPosRankSum=1.15;SOR=0.962 GT:AD:DP:GQ:PL  1:1,64:65:99:2241,0</t>
  </si>
  <si>
    <t>NODE_1_length_37535_cov_39.780474       34903   .       G       C       3321.04 .       AC=1;AF=1;AN=1;DP=88;FS=0;MLEAC=1;MLEAF=1;MQ=60;QD=33.85;SOR=0.716      GT:AD:DP:GQ:PL     1:0,85:85:99:3331,0</t>
  </si>
  <si>
    <t>NODE_1_length_37535_cov_39.780474       35818   .       G       A       2468.04 .       AC=1;AF=1;AN=1;DP=67;FS=0;MLEAC=1;MLEAF=1;MQ=60;QD=27.08;SOR=1.249      GT:AD:DP:GQ:PL     1:0,65:65:99:2478,0</t>
  </si>
  <si>
    <t>NODE_1_length_37535_cov_39.780474       36750   .       C       A       1662.04 .       AC=1;AF=1;AN=1;DP=45;FS=0;MLEAC=1;MLEAF=1;MQ=60;QD=25.42;SOR=1.055      GT:AD:DP:GQ:PL     1:0,43:43:99:1672,0</t>
  </si>
  <si>
    <t>NODE_1_length_37535_cov_39.780474       37090   .       A       C       2164.04 .       AC=1;AF=1;AN=1;DP=57;FS=0;MLEAC=1;MLEAF=1;MQ=60;QD=27.65;SOR=0.877      GT:AD:DP:GQ:PL     1:0,57:57:99:2174,0</t>
  </si>
  <si>
    <t>NODE_1_length_37535_cov_39.780474       37129   .       C       T       2204.04 .       AC=1;AF=1;AN=1;DP=59;FS=0;MLEAC=1;MLEAF=1;MQ=60;QD=29.48;SOR=0.796      GT:AD:DP:GQ:PL     1:0,59:59:99:2214,0</t>
  </si>
  <si>
    <t>NODE_1_length_37517_cov_43.042904       600     .       G       C       1966.04 .       AC=1;AF=1;AN=1;DP=50;FS=0;MLEAC=1;MLEAF=1;MQ=60;QD=25.36;SOR=0.909      GT:AD:DP:GQ:PL     1:0,49:49:99:1976,0</t>
  </si>
  <si>
    <t>NODE_1_length_37517_cov_43.042904       799     .       G       A       2840.04 .       AC=1;AF=1;AN=1;DP=75;FS=0;MLEAC=1;MLEAF=1;MQ=60;QD=28.73;SOR=0.927      GT:AD:DP:GQ:PL     1:0,74:74:99:2850,0</t>
  </si>
  <si>
    <t>NODE_1_length_37517_cov_43.042904       2613    .       A       C       2210.04 .       AC=1;AF=1;AN=1;DP=63;FS=0;MLEAC=1;MLEAF=1;MQ=60;QD=30.97;SOR=0.76       GT:AD:DP:GQ:PL     1:0,60:60:99:2220,0</t>
  </si>
  <si>
    <t>NODE_1_length_37517_cov_43.042904       2742    .       G       C       2096.04 .       AC=1;AF=1;AN=1;DP=59;FS=0;MLEAC=1;MLEAF=1;MQ=60;QD=27.24;SOR=0.997      GT:AD:DP:GQ:PL     1:0,58:58:99:2106,0</t>
  </si>
  <si>
    <t>NODE_1_length_37517_cov_43.042904       3462    .       A       C       1906.04 .       AC=1;AF=1;AN=1;DP=51;FS=0;MLEAC=1;MLEAF=1;MQ=60;QD=28.2;SOR=0.773       GT:AD:DP:GQ:PL     1:0,50:50:99:1916,0</t>
  </si>
  <si>
    <t>NODE_1_length_37517_cov_43.042904       4274    .       T       C       2147.04 .       AC=1;AF=1;AN=1;DP=58;FS=0;MLEAC=1;MLEAF=1;MQ=60;QD=25;SOR=1.009 GT:AD:DP:GQ:PL  1:0,56:56:99:2157,0</t>
  </si>
  <si>
    <t>NODE_1_length_37517_cov_43.042904       5153    .       T       G       2364.04 .       AC=1;AF=1;AN=1;DP=62;FS=0;MLEAC=1;MLEAF=1;MQ=60;QD=29.56;SOR=0.725      GT:AD:DP:GQ:PL     1:0,61:61:99:2374,0</t>
  </si>
  <si>
    <t>NODE_1_length_37517_cov_43.042904       5237    .       C       T       2226.04 .       AC=1;AF=1;AN=1;DP=57;FS=0;MLEAC=1;MLEAF=1;MQ=60;QD=30.62;SOR=0.922      GT:AD:DP:GQ:PL     1:0,56:56:99:2236,0</t>
  </si>
  <si>
    <t>NODE_1_length_37517_cov_43.042904       6110    .       G       A       2013.04 .       AC=1;AF=1;AN=1;DP=51;FS=0;MLEAC=1;MLEAF=1;MQ=60;QD=28.17;SOR=1.565      GT:AD:DP:GQ:PL     1:0,51:51:99:2023,0</t>
  </si>
  <si>
    <t>NODE_1_length_37517_cov_43.042904       6871    .       A       C       2461.04 .       AC=1;AF=1;AN=1;DP=74;FS=0;MLEAC=1;MLEAF=1;MQ=60;QD=34.66;SOR=0.84       GT:AD:DP:GQ:PL     1:0,71:71:99:2471,0</t>
  </si>
  <si>
    <t>NODE_1_length_37517_cov_43.042904       7767    .       C       T       2044.04 .       AC=1;AF=1;AN=1;BaseQRankSum=2.07;DP=63;FS=0;MLEAC=1;MLEAF=1;MQ=60;MQRankSum=0;QD=26.8;ReadPosRankSum=1.67;SOR=0.38 GT:AD:DP:GQ:PL  1:1,57:58:99:2054,0</t>
  </si>
  <si>
    <t>NODE_1_length_37517_cov_43.042904       8144    .       G       A       1867.04 .       AC=1;AF=1;AN=1;DP=52;FS=0;MLEAC=1;MLEAF=1;MQ=60;QD=26;SOR=1.314 GT:AD:DP:GQ:PL  1:0,51:51:99:1877,0</t>
  </si>
  <si>
    <t>NODE_1_length_37517_cov_43.042904       8822    .       A       G       1800.04 .       AC=1;AF=1;AN=1;DP=51;FS=0;MLEAC=1;MLEAF=1;MQ=60;QD=30.02;SOR=0.866      GT:AD:DP:GQ:PL     1:0,48:48:99:1810,0</t>
  </si>
  <si>
    <t>NODE_1_length_37517_cov_43.042904       9927    .       G       A       3034.04 .       AC=1;AF=1;AN=1;DP=70;FS=0;MLEAC=1;MLEAF=1;MQ=60;QD=31.98;SOR=0.814      GT:AD:DP:GQ:PL     1:0,68:68:99:3044,0</t>
  </si>
  <si>
    <t>NODE_1_length_37517_cov_43.042904       9937    .       A       G       3000.04 .       AC=1;AF=1;AN=1;DP=68;FS=0;MLEAC=1;MLEAF=1;MQ=60;QD=27.51;SOR=0.88       GT:AD:DP:GQ:PL     1:0,68:68:99:3010,0</t>
  </si>
  <si>
    <t>NODE_1_length_37517_cov_43.042904       11157   .       A       C       2278.04 .       AC=1;AF=1;AN=1;DP=64;FS=0;MLEAC=1;MLEAF=1;MQ=60;QD=29.11;SOR=0.859      GT:AD:DP:GQ:PL     1:0,63:63:99:2288,0</t>
  </si>
  <si>
    <t>NODE_1_length_37517_cov_43.042904       11654   .       A       G       1555.04 .       AC=1;AF=1;AN=1;DP=44;FS=0;MLEAC=1;MLEAF=1;MQ=60;QD=28.08;SOR=0.693      GT:AD:DP:GQ:PL     1:0,40:40:99:1565,0</t>
  </si>
  <si>
    <t>NODE_1_length_37517_cov_43.042904       12695   .       C       T       2830.04 .       AC=1;AF=1;AN=1;DP=77;FS=0;MLEAC=1;MLEAF=1;MQ=60;QD=23.23;SOR=0.747      GT:AD:DP:GQ:PL     1:0,74:74:99:2840,0</t>
  </si>
  <si>
    <t>NODE_1_length_37517_cov_43.042904       13287   .       G       T       1953.04 .       AC=1;AF=1;AN=1;DP=54;FS=0;MLEAC=1;MLEAF=1;MQ=60;QD=29.03;SOR=0.773      GT:AD:DP:GQ:PL     1:0,50:50:99:1963,0</t>
  </si>
  <si>
    <t>NODE_1_length_37517_cov_43.042904       15422   .       G       T       1973.04 .       AC=1;AF=1;AN=1;DP=56;FS=0;MLEAC=1;MLEAF=1;MQ=60;QD=30.67;SOR=0.846      GT:AD:DP:GQ:PL     1:0,54:54:99:1983,0</t>
  </si>
  <si>
    <t>NODE_1_length_37517_cov_43.042904       15663   .       T       G       2173.04 .       AC=1;AF=1;AN=1;DP=60;FS=0;MLEAC=1;MLEAF=1;MQ=60;QD=26.61;SOR=0.914      GT:AD:DP:GQ:PL     1:0,58:58:99:2183,0</t>
  </si>
  <si>
    <t>NODE_1_length_37517_cov_43.042904       16729   .       T       C       1844.04 .       AC=1;AF=1;AN=1;DP=54;FS=0;MLEAC=1;MLEAF=1;MQ=60;QD=34.15;SOR=0.767      GT:AD:DP:GQ:PL     1:0,54:54:99:1854,0</t>
  </si>
  <si>
    <t>NODE_1_length_37517_cov_43.042904       16831   .       G       C       2260.04 .       AC=1;AF=1;AN=1;DP=63;FS=0;MLEAC=1;MLEAF=1;MQ=60;QD=29.2;SOR=0.693       GT:AD:DP:GQ:PL     1:0,62:62:99:2270,0</t>
  </si>
  <si>
    <t>NODE_1_length_37517_cov_43.042904       16861   .       C       T       2270.04 .       AC=1;AF=1;AN=1;DP=61;FS=0;MLEAC=1;MLEAF=1;MQ=60;QD=28.55;SOR=0.76       GT:AD:DP:GQ:PL     1:0,60:60:99:2280,0</t>
  </si>
  <si>
    <t>NODE_1_length_37517_cov_43.042904       16899   .       T       G       2098.04 .       AC=1;AF=1;AN=1;DP=57;FS=0;MLEAC=1;MLEAF=1;MQ=60;QD=34.42;SOR=1.009      GT:AD:DP:GQ:PL     1:0,56:56:99:2108,0</t>
  </si>
  <si>
    <t>NODE_1_length_37517_cov_43.042904       16921   .       G       A       2486.04 .       AC=1;AF=1;AN=1;DP=57;FS=0;MLEAC=1;MLEAF=1;MQ=60;QD=28.53;SOR=0.922      GT:AD:DP:GQ:PL     1:0,56:56:99:2496,0</t>
  </si>
  <si>
    <t>NODE_1_length_37517_cov_43.042904       16930   .       G       A       2545.04 .       AC=1;AF=1;AN=1;DP=57;FS=0;MLEAC=1;MLEAF=1;MQ=60;QD=27.23;SOR=0.877      GT:AD:DP:GQ:PL     1:0,57:57:99:2555,0</t>
  </si>
  <si>
    <t>NODE_1_length_37517_cov_43.042904       16982   .       C       T       2181.04 .       AC=1;AF=1;AN=1;DP=61;FS=0;MLEAC=1;MLEAF=1;MQ=60;QD=29.52;SOR=1.034      GT:AD:DP:GQ:PL     1:0,59:59:99:2191,0</t>
  </si>
  <si>
    <t>NODE_1_length_37517_cov_43.042904       17461   .       T       G       2355.04 .       AC=1;AF=1;AN=1;DP=67;FS=0;MLEAC=1;MLEAF=1;MQ=60;QD=33.47;SOR=0.754      GT:AD:DP:GQ:PL     1:0,66:66:99:2365,0</t>
  </si>
  <si>
    <t>NODE_1_length_37517_cov_43.042904       20598   .       C       T       1846.04 .       AC=1;AF=1;AN=1;DP=48;FS=0;MLEAC=1;MLEAF=1;MQ=60;QD=32.91;SOR=0.693      GT:AD:DP:GQ:PL     1:0,48:48:99:1856,0</t>
  </si>
  <si>
    <t>NODE_1_length_37517_cov_43.042904       22926   .       G       T       2943.04 .       AC=1;AF=1;AN=1;DP=79;FS=0;MLEAC=1;MLEAF=1;MQ=60;QD=31.31;SOR=0.798      GT:AD:DP:GQ:PL     1:0,78:78:99:2953,0</t>
  </si>
  <si>
    <t>NODE_1_length_37517_cov_43.042904       25047   .       T       C       2597.04 .       AC=1;AF=1;AN=1;DP=58;FS=0;MLEAC=1;MLEAF=1;MQ=60;QD=31.45;SOR=0.762      GT:AD:DP:GQ:PL     1:0,58:58:99:2607,0</t>
  </si>
  <si>
    <t>NODE_1_length_37517_cov_43.042904       25048   .       T       C       2597.04 .       AC=1;AF=1;AN=1;DP=59;FS=0;MLEAC=1;MLEAF=1;MQ=60;QD=33.27;SOR=0.762      GT:AD:DP:GQ:PL     1:0,58:58:99:2607,0</t>
  </si>
  <si>
    <t>NODE_1_length_37517_cov_43.042904       29076   .       C       T       2639.04 .       AC=1;AF=1;AN=1;DP=68;FS=0;MLEAC=1;MLEAF=1;MQ=60;QD=31.26;SOR=0.754      GT:AD:DP:GQ:PL     1:0,66:66:99:2649,0</t>
  </si>
  <si>
    <t>NODE_1_length_37517_cov_43.042904       30192   .       T       C       1683.04 .       AC=1;AF=1;AN=1;DP=45;FS=0;MLEAC=1;MLEAF=1;MQ=60;QD=27.76;SOR=0.737      GT:AD:DP:GQ:PL     1:0,45:45:99:1693,0</t>
  </si>
  <si>
    <t>NODE_1_length_37517_cov_43.042904       33479   .       T       G       2432.04 .       AC=1;AF=1;AN=1;DP=67;FS=0;MLEAC=1;MLEAF=1;MQ=60;QD=29.09;SOR=1.249      GT:AD:DP:GQ:PL     1:0,65:65:99:2442,0</t>
  </si>
  <si>
    <t>NODE_1_length_37517_cov_43.042904       34894   .       C       G       2297.04 .       AC=1;AF=1;AN=1;DP=61;FS=0;MLEAC=1;MLEAF=1;MQ=60;QD=26.08;SOR=1.107      GT:AD:DP:GQ:PL     1:0,61:61:99:2307,0</t>
  </si>
  <si>
    <t>NODE_1_length_37517_cov_43.042904       35809   .       A       G       1726.04 .       AC=1;AF=1;AN=1;DP=45;FS=0;MLEAC=1;MLEAF=1;MQ=60;QD=33.85;SOR=1.105      GT:AD:DP:GQ:PL     1:0,44:44:99:1736,0</t>
  </si>
  <si>
    <t>NODE_1_length_37517_cov_43.042904       36741   .       A       C       2563.04 .       AC=1;AF=1;AN=1;DP=70;FS=0;MLEAC=1;MLEAF=1;MQ=60;QD=27.08;SOR=0.844      GT:AD:DP:GQ:PL     1:0,69:69:99:2573,0</t>
  </si>
  <si>
    <t>NODE_1_length_37517_cov_43.042904       37081   .       C       A       1581.04 .       AC=1;AF=1;AN=1;DP=43;FS=0;MLEAC=1;MLEAF=1;MQ=60;QD=25.42;SOR=0.892      GT:AD:DP:GQ:PL     1:0,42:42:99:1591,0</t>
  </si>
  <si>
    <t>NODE_1_length_37517_cov_43.042904       37120   .       T       C       1609.04 .       AC=1;AF=1;AN=1;DP=42;FS=0;MLEAC=1;MLEAF=1;MQ=60;QD=27.65;SOR=0.954      GT:AD:DP:GQ:PL     1:0,41:41:99:1619,0</t>
  </si>
  <si>
    <t>Partition Specific Value</t>
  </si>
  <si>
    <t>Proportion of Branches Under Positive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</si>
</sst>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Arial"/>
      <family val="2"/>
    </font>
    <font>
      <sz val="6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quotePrefix="1"/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3"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9840614077488795E-3"/>
                  <c:y val="-0.191280719502791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'R2_Values'!$A$2:$A$13</c:f>
              <c:numCache>
                <c:formatCode>General</c:formatCode>
                <c:ptCount val="12"/>
                <c:pt idx="0">
                  <c:v>1.8979999999999999</c:v>
                </c:pt>
                <c:pt idx="1">
                  <c:v>1.488</c:v>
                </c:pt>
                <c:pt idx="2">
                  <c:v>1.095</c:v>
                </c:pt>
                <c:pt idx="3">
                  <c:v>1.0309999999999999</c:v>
                </c:pt>
                <c:pt idx="4">
                  <c:v>0.78900000000000003</c:v>
                </c:pt>
                <c:pt idx="5">
                  <c:v>0.78300000000000003</c:v>
                </c:pt>
                <c:pt idx="6">
                  <c:v>0.751</c:v>
                </c:pt>
                <c:pt idx="7">
                  <c:v>0.75</c:v>
                </c:pt>
                <c:pt idx="8">
                  <c:v>0.73399999999999999</c:v>
                </c:pt>
                <c:pt idx="9">
                  <c:v>0.66100000000000003</c:v>
                </c:pt>
                <c:pt idx="10">
                  <c:v>0.54800000000000004</c:v>
                </c:pt>
                <c:pt idx="11">
                  <c:v>0.47099999999999997</c:v>
                </c:pt>
              </c:numCache>
            </c:numRef>
          </c:xVal>
          <c:yVal>
            <c:numRef>
              <c:f>'R2_Values'!$B$2:$B$13</c:f>
              <c:numCache>
                <c:formatCode>General</c:formatCode>
                <c:ptCount val="12"/>
                <c:pt idx="0">
                  <c:v>5.0847457627118647E-2</c:v>
                </c:pt>
                <c:pt idx="1">
                  <c:v>0</c:v>
                </c:pt>
                <c:pt idx="2">
                  <c:v>7.0422535211267609E-2</c:v>
                </c:pt>
                <c:pt idx="3">
                  <c:v>0.13043478260869565</c:v>
                </c:pt>
                <c:pt idx="4">
                  <c:v>2.4390243902439025E-2</c:v>
                </c:pt>
                <c:pt idx="5">
                  <c:v>0.2318840579710145</c:v>
                </c:pt>
                <c:pt idx="6">
                  <c:v>3.9215686274509803E-2</c:v>
                </c:pt>
                <c:pt idx="7">
                  <c:v>0</c:v>
                </c:pt>
                <c:pt idx="8">
                  <c:v>3.5087719298245612E-2</c:v>
                </c:pt>
                <c:pt idx="9">
                  <c:v>0</c:v>
                </c:pt>
                <c:pt idx="10">
                  <c:v>5.0847457627118647E-2</c:v>
                </c:pt>
                <c:pt idx="11">
                  <c:v>0.29230769230769232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33-43A9-8EC2-E5A4F0DA4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679888"/>
        <c:axId val="1737876720"/>
      </c:scatterChart>
      <c:valAx>
        <c:axId val="39567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876720"/>
        <c:crosses val="autoZero"/>
        <c:crossBetween val="midCat"/>
      </c:valAx>
      <c:valAx>
        <c:axId val="1737876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79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436728</xdr:colOff>
      <xdr:row>6</xdr:row>
      <xdr:rowOff>98946</xdr:rowOff>
    </xdr:from>
    <xdr:to>
      <xdr:col>14</xdr:col>
      <xdr:colOff>204716</xdr:colOff>
      <xdr:row>22</xdr:row>
      <xdr:rowOff>3411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15AF4D-C24E-AB79-8558-539B572529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1776D-A825-4468-AAA0-DCB63D32CE1B}">
  <dimension ref="A1:N36"/>
  <sheetViews>
    <sheetView topLeftCell="B1" zoomScale="79" workbookViewId="0">
      <selection activeCell="D9" sqref="D9"/>
    </sheetView>
  </sheetViews>
  <sheetFormatPr defaultRowHeight="14" x14ac:dyDescent="0.3"/>
  <cols>
    <col min="1" max="1" width="67.5" bestFit="1" customWidth="1"/>
    <col min="2" max="2" width="18.3984375" customWidth="1"/>
    <col min="3" max="3" width="23.3984375" customWidth="1"/>
  </cols>
  <sheetData>
    <row r="1" spans="1:14" x14ac:dyDescent="0.3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M1" t="s">
        <v>137</v>
      </c>
      <c r="N1" t="s">
        <v>138</v>
      </c>
    </row>
    <row r="2" spans="1:14" x14ac:dyDescent="0.3">
      <c r="A2" t="s">
        <v>1</v>
      </c>
      <c r="B2" t="s">
        <v>79</v>
      </c>
      <c r="C2" t="s">
        <v>34</v>
      </c>
      <c r="D2" t="s">
        <v>26</v>
      </c>
      <c r="F2" t="s">
        <v>27</v>
      </c>
    </row>
    <row r="3" spans="1:14" x14ac:dyDescent="0.3">
      <c r="A3" t="s">
        <v>2</v>
      </c>
      <c r="B3" t="s">
        <v>66</v>
      </c>
      <c r="C3" t="s">
        <v>34</v>
      </c>
      <c r="D3" t="s">
        <v>28</v>
      </c>
      <c r="F3" t="s">
        <v>29</v>
      </c>
    </row>
    <row r="4" spans="1:14" x14ac:dyDescent="0.3">
      <c r="A4" t="s">
        <v>5</v>
      </c>
      <c r="B4" t="s">
        <v>67</v>
      </c>
      <c r="C4" t="s">
        <v>34</v>
      </c>
      <c r="D4" t="s">
        <v>62</v>
      </c>
      <c r="F4" t="s">
        <v>63</v>
      </c>
    </row>
    <row r="5" spans="1:14" x14ac:dyDescent="0.3">
      <c r="A5" t="s">
        <v>6</v>
      </c>
      <c r="B5" t="s">
        <v>68</v>
      </c>
      <c r="C5" t="s">
        <v>34</v>
      </c>
      <c r="D5" t="s">
        <v>60</v>
      </c>
    </row>
    <row r="6" spans="1:14" x14ac:dyDescent="0.3">
      <c r="A6" t="s">
        <v>11</v>
      </c>
      <c r="B6" t="s">
        <v>71</v>
      </c>
      <c r="C6" t="s">
        <v>34</v>
      </c>
      <c r="D6" t="s">
        <v>50</v>
      </c>
      <c r="F6" t="s">
        <v>49</v>
      </c>
    </row>
    <row r="7" spans="1:14" x14ac:dyDescent="0.3">
      <c r="A7" t="s">
        <v>12</v>
      </c>
      <c r="B7" t="s">
        <v>72</v>
      </c>
      <c r="C7" t="s">
        <v>34</v>
      </c>
      <c r="D7" t="s">
        <v>51</v>
      </c>
      <c r="F7" t="s">
        <v>52</v>
      </c>
    </row>
    <row r="8" spans="1:14" x14ac:dyDescent="0.3">
      <c r="A8" t="s">
        <v>13</v>
      </c>
      <c r="B8" t="s">
        <v>70</v>
      </c>
      <c r="C8" t="s">
        <v>34</v>
      </c>
      <c r="D8" t="s">
        <v>22</v>
      </c>
      <c r="E8" t="s">
        <v>20</v>
      </c>
      <c r="F8" t="s">
        <v>21</v>
      </c>
    </row>
    <row r="9" spans="1:14" x14ac:dyDescent="0.3">
      <c r="A9" t="s">
        <v>14</v>
      </c>
      <c r="B9" t="s">
        <v>73</v>
      </c>
      <c r="C9" t="s">
        <v>34</v>
      </c>
      <c r="D9" t="s">
        <v>48</v>
      </c>
      <c r="F9" t="s">
        <v>47</v>
      </c>
    </row>
    <row r="10" spans="1:14" x14ac:dyDescent="0.3">
      <c r="A10" t="s">
        <v>16</v>
      </c>
      <c r="B10" t="s">
        <v>77</v>
      </c>
      <c r="C10" t="s">
        <v>34</v>
      </c>
      <c r="D10" t="s">
        <v>92</v>
      </c>
      <c r="E10" t="s">
        <v>40</v>
      </c>
      <c r="F10" t="s">
        <v>39</v>
      </c>
    </row>
    <row r="11" spans="1:14" x14ac:dyDescent="0.3">
      <c r="A11" t="s">
        <v>17</v>
      </c>
      <c r="B11" t="s">
        <v>74</v>
      </c>
      <c r="C11" t="s">
        <v>34</v>
      </c>
      <c r="D11" t="s">
        <v>93</v>
      </c>
      <c r="E11" t="s">
        <v>37</v>
      </c>
      <c r="F11" t="s">
        <v>38</v>
      </c>
    </row>
    <row r="12" spans="1:14" x14ac:dyDescent="0.3">
      <c r="A12" t="s">
        <v>41</v>
      </c>
      <c r="B12" t="s">
        <v>84</v>
      </c>
      <c r="C12" t="s">
        <v>34</v>
      </c>
      <c r="D12" t="s">
        <v>43</v>
      </c>
      <c r="F12" t="s">
        <v>42</v>
      </c>
    </row>
    <row r="13" spans="1:14" x14ac:dyDescent="0.3">
      <c r="A13" t="s">
        <v>44</v>
      </c>
      <c r="B13" t="s">
        <v>86</v>
      </c>
      <c r="C13" t="s">
        <v>34</v>
      </c>
      <c r="D13" t="s">
        <v>46</v>
      </c>
      <c r="F13" t="s">
        <v>45</v>
      </c>
    </row>
    <row r="14" spans="1:14" x14ac:dyDescent="0.3">
      <c r="A14" t="s">
        <v>87</v>
      </c>
      <c r="B14" t="s">
        <v>85</v>
      </c>
      <c r="C14" t="s">
        <v>34</v>
      </c>
      <c r="D14" t="s">
        <v>89</v>
      </c>
      <c r="F14" t="s">
        <v>88</v>
      </c>
    </row>
    <row r="15" spans="1:14" x14ac:dyDescent="0.3">
      <c r="A15" t="s">
        <v>96</v>
      </c>
      <c r="B15" t="s">
        <v>68</v>
      </c>
      <c r="C15" t="s">
        <v>34</v>
      </c>
      <c r="D15" t="s">
        <v>95</v>
      </c>
    </row>
    <row r="16" spans="1:14" x14ac:dyDescent="0.3">
      <c r="A16" t="s">
        <v>121</v>
      </c>
      <c r="B16" t="s">
        <v>120</v>
      </c>
      <c r="C16" t="s">
        <v>34</v>
      </c>
      <c r="D16" t="s">
        <v>119</v>
      </c>
    </row>
    <row r="17" spans="1:6" x14ac:dyDescent="0.3">
      <c r="A17" t="s">
        <v>123</v>
      </c>
      <c r="B17" t="s">
        <v>126</v>
      </c>
      <c r="C17" t="s">
        <v>34</v>
      </c>
      <c r="D17" t="s">
        <v>122</v>
      </c>
    </row>
    <row r="18" spans="1:6" x14ac:dyDescent="0.3">
      <c r="A18" t="s">
        <v>127</v>
      </c>
      <c r="B18" t="s">
        <v>125</v>
      </c>
      <c r="C18" t="s">
        <v>34</v>
      </c>
      <c r="D18" t="s">
        <v>124</v>
      </c>
    </row>
    <row r="19" spans="1:6" x14ac:dyDescent="0.3">
      <c r="A19" t="s">
        <v>128</v>
      </c>
      <c r="B19" t="s">
        <v>129</v>
      </c>
      <c r="C19" t="s">
        <v>34</v>
      </c>
      <c r="D19" t="s">
        <v>130</v>
      </c>
    </row>
    <row r="20" spans="1:6" x14ac:dyDescent="0.3">
      <c r="A20" t="s">
        <v>131</v>
      </c>
      <c r="B20" t="s">
        <v>132</v>
      </c>
      <c r="C20" t="s">
        <v>34</v>
      </c>
      <c r="D20" t="s">
        <v>133</v>
      </c>
    </row>
    <row r="21" spans="1:6" x14ac:dyDescent="0.3">
      <c r="A21" t="s">
        <v>134</v>
      </c>
      <c r="B21" t="s">
        <v>135</v>
      </c>
      <c r="C21" t="s">
        <v>34</v>
      </c>
      <c r="D21" t="s">
        <v>136</v>
      </c>
    </row>
    <row r="22" spans="1:6" x14ac:dyDescent="0.3">
      <c r="A22" t="s">
        <v>7</v>
      </c>
      <c r="B22" t="s">
        <v>69</v>
      </c>
      <c r="C22" t="s">
        <v>36</v>
      </c>
      <c r="D22" t="s">
        <v>59</v>
      </c>
      <c r="E22" t="s">
        <v>58</v>
      </c>
      <c r="F22" t="s">
        <v>61</v>
      </c>
    </row>
    <row r="23" spans="1:6" x14ac:dyDescent="0.3">
      <c r="A23" t="s">
        <v>18</v>
      </c>
      <c r="B23" t="s">
        <v>78</v>
      </c>
      <c r="C23" t="s">
        <v>36</v>
      </c>
      <c r="D23" t="s">
        <v>94</v>
      </c>
    </row>
    <row r="24" spans="1:6" x14ac:dyDescent="0.3">
      <c r="A24" t="s">
        <v>141</v>
      </c>
      <c r="B24" t="s">
        <v>140</v>
      </c>
      <c r="C24" t="s">
        <v>36</v>
      </c>
      <c r="D24" t="s">
        <v>139</v>
      </c>
    </row>
    <row r="25" spans="1:6" x14ac:dyDescent="0.3">
      <c r="A25" t="s">
        <v>144</v>
      </c>
      <c r="B25" t="s">
        <v>142</v>
      </c>
      <c r="C25" t="s">
        <v>36</v>
      </c>
      <c r="D25" t="s">
        <v>143</v>
      </c>
    </row>
    <row r="26" spans="1:6" x14ac:dyDescent="0.3">
      <c r="A26" t="s">
        <v>145</v>
      </c>
      <c r="B26" t="s">
        <v>146</v>
      </c>
      <c r="C26" t="s">
        <v>36</v>
      </c>
      <c r="D26" t="s">
        <v>147</v>
      </c>
    </row>
    <row r="27" spans="1:6" x14ac:dyDescent="0.3">
      <c r="A27" t="s">
        <v>19</v>
      </c>
      <c r="B27" t="s">
        <v>80</v>
      </c>
      <c r="C27" t="s">
        <v>35</v>
      </c>
      <c r="D27" t="s">
        <v>32</v>
      </c>
      <c r="E27" t="s">
        <v>30</v>
      </c>
      <c r="F27" t="s">
        <v>31</v>
      </c>
    </row>
    <row r="28" spans="1:6" x14ac:dyDescent="0.3">
      <c r="A28" t="s">
        <v>0</v>
      </c>
      <c r="B28" t="s">
        <v>65</v>
      </c>
      <c r="C28" t="s">
        <v>33</v>
      </c>
      <c r="D28" t="s">
        <v>23</v>
      </c>
      <c r="E28" t="s">
        <v>24</v>
      </c>
      <c r="F28" t="s">
        <v>25</v>
      </c>
    </row>
    <row r="29" spans="1:6" x14ac:dyDescent="0.3">
      <c r="A29" t="s">
        <v>3</v>
      </c>
      <c r="B29" t="s">
        <v>75</v>
      </c>
      <c r="C29" t="s">
        <v>33</v>
      </c>
      <c r="D29" t="s">
        <v>28</v>
      </c>
    </row>
    <row r="30" spans="1:6" x14ac:dyDescent="0.3">
      <c r="A30" t="s">
        <v>9</v>
      </c>
      <c r="B30" t="s">
        <v>76</v>
      </c>
      <c r="C30" t="s">
        <v>33</v>
      </c>
      <c r="D30" t="s">
        <v>53</v>
      </c>
      <c r="F30" t="s">
        <v>54</v>
      </c>
    </row>
    <row r="31" spans="1:6" x14ac:dyDescent="0.3">
      <c r="A31" t="s">
        <v>10</v>
      </c>
      <c r="B31" t="s">
        <v>76</v>
      </c>
      <c r="C31" t="s">
        <v>33</v>
      </c>
      <c r="D31" t="s">
        <v>53</v>
      </c>
      <c r="F31" t="s">
        <v>54</v>
      </c>
    </row>
    <row r="32" spans="1:6" x14ac:dyDescent="0.3">
      <c r="A32" t="s">
        <v>4</v>
      </c>
      <c r="B32" s="4" t="s">
        <v>81</v>
      </c>
      <c r="C32" t="s">
        <v>55</v>
      </c>
      <c r="D32" t="s">
        <v>64</v>
      </c>
    </row>
    <row r="33" spans="1:6" x14ac:dyDescent="0.3">
      <c r="A33" t="s">
        <v>8</v>
      </c>
      <c r="B33" t="s">
        <v>82</v>
      </c>
      <c r="C33" t="s">
        <v>55</v>
      </c>
      <c r="D33" t="s">
        <v>57</v>
      </c>
      <c r="F33" t="s">
        <v>56</v>
      </c>
    </row>
    <row r="34" spans="1:6" x14ac:dyDescent="0.3">
      <c r="A34" t="s">
        <v>105</v>
      </c>
      <c r="B34" t="s">
        <v>103</v>
      </c>
      <c r="C34" t="s">
        <v>55</v>
      </c>
      <c r="D34" t="s">
        <v>104</v>
      </c>
    </row>
    <row r="35" spans="1:6" x14ac:dyDescent="0.3">
      <c r="A35" t="s">
        <v>107</v>
      </c>
      <c r="B35" t="s">
        <v>106</v>
      </c>
      <c r="C35" t="s">
        <v>55</v>
      </c>
      <c r="D35" t="s">
        <v>108</v>
      </c>
      <c r="F35" t="s">
        <v>109</v>
      </c>
    </row>
    <row r="36" spans="1:6" x14ac:dyDescent="0.3">
      <c r="A36" t="s">
        <v>15</v>
      </c>
      <c r="B36" t="s">
        <v>83</v>
      </c>
      <c r="C36" t="s">
        <v>91</v>
      </c>
      <c r="D36" t="s">
        <v>90</v>
      </c>
    </row>
  </sheetData>
  <autoFilter ref="A1:F25" xr:uid="{B1A1776D-A825-4468-AAA0-DCB63D32CE1B}">
    <sortState xmlns:xlrd2="http://schemas.microsoft.com/office/spreadsheetml/2017/richdata2" ref="A2:F36">
      <sortCondition ref="C1:C25"/>
    </sortState>
  </autoFilter>
  <conditionalFormatting sqref="C2:C33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F923-ECD8-410F-888F-78FC6B880FBE}">
  <dimension ref="A1:R36"/>
  <sheetViews>
    <sheetView workbookViewId="0">
      <selection activeCell="A3" sqref="A3"/>
    </sheetView>
  </sheetViews>
  <sheetFormatPr defaultRowHeight="14" x14ac:dyDescent="0.3"/>
  <cols>
    <col min="1" max="1" width="20.19921875" bestFit="1" customWidth="1"/>
    <col min="2" max="2" width="33.19921875" customWidth="1"/>
    <col min="3" max="3" width="29" bestFit="1" customWidth="1"/>
  </cols>
  <sheetData>
    <row r="1" spans="1:3" x14ac:dyDescent="0.3">
      <c r="A1" s="2" t="s">
        <v>1636</v>
      </c>
      <c r="B1" s="2" t="s">
        <v>1669</v>
      </c>
      <c r="C1" s="2" t="s">
        <v>99</v>
      </c>
    </row>
    <row r="2" spans="1:3" x14ac:dyDescent="0.3">
      <c r="A2" s="2" t="s">
        <v>1604</v>
      </c>
      <c r="B2" s="2" t="s">
        <v>1659</v>
      </c>
      <c r="C2" s="2" t="s">
        <v>36</v>
      </c>
    </row>
    <row r="3" spans="1:3" x14ac:dyDescent="0.3">
      <c r="A3" s="2" t="s">
        <v>1611</v>
      </c>
      <c r="B3" s="2" t="s">
        <v>1646</v>
      </c>
      <c r="C3" s="2" t="s">
        <v>36</v>
      </c>
    </row>
    <row r="4" spans="1:3" x14ac:dyDescent="0.3">
      <c r="A4" s="2" t="s">
        <v>1612</v>
      </c>
      <c r="B4" s="2" t="s">
        <v>1648</v>
      </c>
      <c r="C4" s="2" t="s">
        <v>36</v>
      </c>
    </row>
    <row r="5" spans="1:3" x14ac:dyDescent="0.3">
      <c r="A5" s="3" t="s">
        <v>1599</v>
      </c>
      <c r="B5" s="2" t="s">
        <v>1626</v>
      </c>
      <c r="C5" s="2" t="s">
        <v>36</v>
      </c>
    </row>
    <row r="6" spans="1:3" x14ac:dyDescent="0.3">
      <c r="A6" s="2" t="s">
        <v>1633</v>
      </c>
      <c r="B6" s="2" t="s">
        <v>144</v>
      </c>
      <c r="C6" s="2" t="s">
        <v>36</v>
      </c>
    </row>
    <row r="7" spans="1:3" x14ac:dyDescent="0.3">
      <c r="A7" s="2" t="s">
        <v>1634</v>
      </c>
      <c r="B7" s="2" t="s">
        <v>1635</v>
      </c>
      <c r="C7" s="2" t="s">
        <v>36</v>
      </c>
    </row>
    <row r="8" spans="1:3" x14ac:dyDescent="0.3">
      <c r="A8" s="2" t="s">
        <v>1617</v>
      </c>
      <c r="B8" s="2" t="s">
        <v>1637</v>
      </c>
      <c r="C8" s="2" t="s">
        <v>1598</v>
      </c>
    </row>
    <row r="9" spans="1:3" x14ac:dyDescent="0.3">
      <c r="A9" s="2" t="s">
        <v>1618</v>
      </c>
      <c r="B9" s="2" t="s">
        <v>1639</v>
      </c>
      <c r="C9" s="2" t="s">
        <v>1598</v>
      </c>
    </row>
    <row r="10" spans="1:3" x14ac:dyDescent="0.3">
      <c r="A10" s="2" t="s">
        <v>1619</v>
      </c>
      <c r="B10" s="2" t="s">
        <v>1640</v>
      </c>
      <c r="C10" s="2" t="s">
        <v>1598</v>
      </c>
    </row>
    <row r="11" spans="1:3" x14ac:dyDescent="0.3">
      <c r="A11" s="2" t="s">
        <v>1620</v>
      </c>
      <c r="B11" s="2" t="s">
        <v>1641</v>
      </c>
      <c r="C11" s="2" t="s">
        <v>1598</v>
      </c>
    </row>
    <row r="12" spans="1:3" x14ac:dyDescent="0.3">
      <c r="A12" s="2" t="s">
        <v>1621</v>
      </c>
      <c r="B12" s="2" t="s">
        <v>1642</v>
      </c>
      <c r="C12" s="2" t="s">
        <v>1598</v>
      </c>
    </row>
    <row r="13" spans="1:3" x14ac:dyDescent="0.3">
      <c r="A13" s="2" t="s">
        <v>1622</v>
      </c>
      <c r="B13" s="2" t="s">
        <v>1643</v>
      </c>
      <c r="C13" s="2" t="s">
        <v>1598</v>
      </c>
    </row>
    <row r="14" spans="1:3" x14ac:dyDescent="0.3">
      <c r="A14" s="2" t="s">
        <v>1600</v>
      </c>
      <c r="B14" s="2" t="s">
        <v>1668</v>
      </c>
      <c r="C14" s="2" t="s">
        <v>1598</v>
      </c>
    </row>
    <row r="15" spans="1:3" x14ac:dyDescent="0.3">
      <c r="A15" s="2" t="s">
        <v>1623</v>
      </c>
      <c r="B15" s="2" t="s">
        <v>1644</v>
      </c>
      <c r="C15" s="2" t="s">
        <v>1598</v>
      </c>
    </row>
    <row r="16" spans="1:3" x14ac:dyDescent="0.3">
      <c r="A16" s="2" t="s">
        <v>1624</v>
      </c>
      <c r="B16" s="2" t="s">
        <v>1667</v>
      </c>
      <c r="C16" s="2" t="s">
        <v>1598</v>
      </c>
    </row>
    <row r="17" spans="1:3" x14ac:dyDescent="0.3">
      <c r="A17" s="2" t="s">
        <v>1625</v>
      </c>
      <c r="B17" s="2" t="s">
        <v>1645</v>
      </c>
      <c r="C17" s="2" t="s">
        <v>1598</v>
      </c>
    </row>
    <row r="18" spans="1:3" x14ac:dyDescent="0.3">
      <c r="A18" s="2" t="s">
        <v>1601</v>
      </c>
      <c r="B18" s="2" t="s">
        <v>1657</v>
      </c>
      <c r="C18" s="2" t="s">
        <v>1598</v>
      </c>
    </row>
    <row r="19" spans="1:3" x14ac:dyDescent="0.3">
      <c r="A19" s="2" t="s">
        <v>1602</v>
      </c>
      <c r="B19" s="2" t="s">
        <v>1658</v>
      </c>
      <c r="C19" s="2" t="s">
        <v>1598</v>
      </c>
    </row>
    <row r="20" spans="1:3" x14ac:dyDescent="0.3">
      <c r="A20" s="2" t="s">
        <v>1603</v>
      </c>
      <c r="B20" s="2" t="s">
        <v>1660</v>
      </c>
      <c r="C20" s="2" t="s">
        <v>1598</v>
      </c>
    </row>
    <row r="21" spans="1:3" x14ac:dyDescent="0.3">
      <c r="A21" s="2" t="s">
        <v>1605</v>
      </c>
      <c r="B21" s="2" t="s">
        <v>1661</v>
      </c>
      <c r="C21" s="2" t="s">
        <v>1598</v>
      </c>
    </row>
    <row r="22" spans="1:3" x14ac:dyDescent="0.3">
      <c r="A22" s="2" t="s">
        <v>1606</v>
      </c>
      <c r="B22" s="2" t="s">
        <v>1662</v>
      </c>
      <c r="C22" s="2" t="s">
        <v>1598</v>
      </c>
    </row>
    <row r="23" spans="1:3" x14ac:dyDescent="0.3">
      <c r="A23" s="2" t="s">
        <v>1607</v>
      </c>
      <c r="B23" s="2" t="s">
        <v>1663</v>
      </c>
      <c r="C23" s="2" t="s">
        <v>1598</v>
      </c>
    </row>
    <row r="24" spans="1:3" x14ac:dyDescent="0.3">
      <c r="A24" s="2" t="s">
        <v>1608</v>
      </c>
      <c r="B24" s="2" t="s">
        <v>1664</v>
      </c>
      <c r="C24" s="2" t="s">
        <v>1598</v>
      </c>
    </row>
    <row r="25" spans="1:3" x14ac:dyDescent="0.3">
      <c r="A25" s="2" t="s">
        <v>1609</v>
      </c>
      <c r="B25" s="2" t="s">
        <v>1665</v>
      </c>
      <c r="C25" s="2" t="s">
        <v>1598</v>
      </c>
    </row>
    <row r="26" spans="1:3" x14ac:dyDescent="0.3">
      <c r="A26" s="2" t="s">
        <v>1610</v>
      </c>
      <c r="B26" s="2" t="s">
        <v>1666</v>
      </c>
      <c r="C26" s="2" t="s">
        <v>1598</v>
      </c>
    </row>
    <row r="27" spans="1:3" x14ac:dyDescent="0.3">
      <c r="A27" s="2" t="s">
        <v>1632</v>
      </c>
      <c r="B27" s="2" t="s">
        <v>1638</v>
      </c>
      <c r="C27" s="2" t="s">
        <v>35</v>
      </c>
    </row>
    <row r="28" spans="1:3" x14ac:dyDescent="0.3">
      <c r="A28" s="2" t="s">
        <v>1631</v>
      </c>
      <c r="B28" s="2" t="s">
        <v>1647</v>
      </c>
      <c r="C28" s="2" t="s">
        <v>33</v>
      </c>
    </row>
    <row r="29" spans="1:3" x14ac:dyDescent="0.3">
      <c r="A29" s="2" t="s">
        <v>1630</v>
      </c>
      <c r="B29" s="2" t="s">
        <v>1649</v>
      </c>
      <c r="C29" s="2" t="s">
        <v>33</v>
      </c>
    </row>
    <row r="30" spans="1:3" x14ac:dyDescent="0.3">
      <c r="A30" s="2" t="s">
        <v>1629</v>
      </c>
      <c r="B30" s="2" t="s">
        <v>1650</v>
      </c>
      <c r="C30" s="2" t="s">
        <v>33</v>
      </c>
    </row>
    <row r="31" spans="1:3" x14ac:dyDescent="0.3">
      <c r="A31" s="2" t="s">
        <v>1628</v>
      </c>
      <c r="B31" s="2" t="s">
        <v>1651</v>
      </c>
      <c r="C31" s="2" t="s">
        <v>33</v>
      </c>
    </row>
    <row r="32" spans="1:3" x14ac:dyDescent="0.3">
      <c r="A32" s="2" t="s">
        <v>1613</v>
      </c>
      <c r="B32" s="2" t="s">
        <v>1652</v>
      </c>
      <c r="C32" s="2" t="s">
        <v>55</v>
      </c>
    </row>
    <row r="33" spans="1:18" x14ac:dyDescent="0.3">
      <c r="A33" s="2" t="s">
        <v>1614</v>
      </c>
      <c r="B33" s="2" t="s">
        <v>1653</v>
      </c>
      <c r="C33" s="2" t="s">
        <v>55</v>
      </c>
    </row>
    <row r="34" spans="1:18" x14ac:dyDescent="0.3">
      <c r="A34" s="2" t="s">
        <v>1615</v>
      </c>
      <c r="B34" s="2" t="s">
        <v>1654</v>
      </c>
      <c r="C34" s="2" t="s">
        <v>55</v>
      </c>
    </row>
    <row r="35" spans="1:18" x14ac:dyDescent="0.3">
      <c r="A35" s="2" t="s">
        <v>1616</v>
      </c>
      <c r="B35" s="2" t="s">
        <v>1655</v>
      </c>
      <c r="C35" s="2" t="s">
        <v>55</v>
      </c>
      <c r="R35">
        <v>1</v>
      </c>
    </row>
    <row r="36" spans="1:18" x14ac:dyDescent="0.3">
      <c r="A36" s="2" t="s">
        <v>1627</v>
      </c>
      <c r="B36" s="2" t="s">
        <v>1656</v>
      </c>
      <c r="C36" s="2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7346-F512-4F40-B3C3-D95744FBB3FE}">
  <dimension ref="A1:G4"/>
  <sheetViews>
    <sheetView zoomScale="105" workbookViewId="0">
      <selection activeCell="F12" sqref="F12"/>
    </sheetView>
  </sheetViews>
  <sheetFormatPr defaultRowHeight="14" x14ac:dyDescent="0.3"/>
  <cols>
    <col min="3" max="3" width="16.09765625" bestFit="1" customWidth="1"/>
    <col min="4" max="4" width="16.59765625" bestFit="1" customWidth="1"/>
    <col min="5" max="5" width="18.19921875" bestFit="1" customWidth="1"/>
    <col min="6" max="6" width="23.19921875" bestFit="1" customWidth="1"/>
  </cols>
  <sheetData>
    <row r="1" spans="1:7" x14ac:dyDescent="0.3">
      <c r="A1" t="s">
        <v>113</v>
      </c>
      <c r="B1" t="s">
        <v>112</v>
      </c>
      <c r="C1" t="s">
        <v>118</v>
      </c>
      <c r="D1" t="s">
        <v>114</v>
      </c>
      <c r="E1" t="s">
        <v>115</v>
      </c>
      <c r="F1" t="s">
        <v>116</v>
      </c>
      <c r="G1" t="s">
        <v>117</v>
      </c>
    </row>
    <row r="2" spans="1:7" x14ac:dyDescent="0.3">
      <c r="A2">
        <v>8054</v>
      </c>
      <c r="B2" t="s">
        <v>110</v>
      </c>
      <c r="C2">
        <v>37517</v>
      </c>
      <c r="D2">
        <v>68.406700000000001</v>
      </c>
      <c r="E2">
        <v>100</v>
      </c>
      <c r="F2">
        <v>17344</v>
      </c>
      <c r="G2">
        <v>0.19</v>
      </c>
    </row>
    <row r="3" spans="1:7" x14ac:dyDescent="0.3">
      <c r="A3">
        <v>8054</v>
      </c>
      <c r="B3" t="s">
        <v>111</v>
      </c>
      <c r="C3">
        <v>37517</v>
      </c>
      <c r="D3">
        <v>68.406700000000001</v>
      </c>
      <c r="E3">
        <v>100</v>
      </c>
      <c r="F3">
        <v>17344</v>
      </c>
      <c r="G3">
        <v>0.19</v>
      </c>
    </row>
    <row r="4" spans="1:7" x14ac:dyDescent="0.3">
      <c r="A4">
        <v>8158</v>
      </c>
      <c r="B4" t="s">
        <v>111</v>
      </c>
      <c r="C4">
        <v>37535</v>
      </c>
      <c r="D4">
        <v>62.942</v>
      </c>
      <c r="E4">
        <v>100</v>
      </c>
      <c r="F4">
        <v>15839</v>
      </c>
      <c r="G4">
        <v>0.15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43200-C4A2-4E30-98E1-2C144CC75254}">
  <dimension ref="A1:KF38"/>
  <sheetViews>
    <sheetView zoomScale="115" zoomScaleNormal="115" workbookViewId="0">
      <selection activeCell="A30" sqref="A30"/>
    </sheetView>
  </sheetViews>
  <sheetFormatPr defaultRowHeight="14" x14ac:dyDescent="0.3"/>
  <cols>
    <col min="1" max="1" width="26.59765625" bestFit="1" customWidth="1"/>
    <col min="30" max="30" width="10.5" bestFit="1" customWidth="1"/>
  </cols>
  <sheetData>
    <row r="1" spans="1:292" x14ac:dyDescent="0.3">
      <c r="A1" t="s">
        <v>148</v>
      </c>
      <c r="B1" t="s">
        <v>99</v>
      </c>
      <c r="C1" t="s">
        <v>185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  <c r="K1" t="s">
        <v>193</v>
      </c>
      <c r="L1" t="s">
        <v>194</v>
      </c>
      <c r="M1" t="s">
        <v>195</v>
      </c>
      <c r="N1" t="s">
        <v>196</v>
      </c>
      <c r="O1" t="s">
        <v>197</v>
      </c>
      <c r="P1" t="s">
        <v>198</v>
      </c>
      <c r="Q1" t="s">
        <v>199</v>
      </c>
      <c r="R1" t="s">
        <v>200</v>
      </c>
      <c r="S1" t="s">
        <v>201</v>
      </c>
      <c r="T1" t="s">
        <v>202</v>
      </c>
      <c r="U1" t="s">
        <v>203</v>
      </c>
      <c r="V1" t="s">
        <v>204</v>
      </c>
      <c r="W1" t="s">
        <v>205</v>
      </c>
      <c r="X1" t="s">
        <v>206</v>
      </c>
      <c r="Y1" t="s">
        <v>207</v>
      </c>
      <c r="Z1" t="s">
        <v>208</v>
      </c>
      <c r="AA1" t="s">
        <v>209</v>
      </c>
      <c r="AB1" t="s">
        <v>210</v>
      </c>
      <c r="AC1" t="s">
        <v>211</v>
      </c>
      <c r="AD1" t="s">
        <v>212</v>
      </c>
      <c r="AE1" t="s">
        <v>213</v>
      </c>
      <c r="AF1" t="s">
        <v>214</v>
      </c>
      <c r="AG1" t="s">
        <v>215</v>
      </c>
      <c r="AH1" t="s">
        <v>216</v>
      </c>
      <c r="AI1" t="s">
        <v>217</v>
      </c>
      <c r="AJ1" t="s">
        <v>218</v>
      </c>
      <c r="AK1" t="s">
        <v>219</v>
      </c>
      <c r="AL1" t="s">
        <v>220</v>
      </c>
      <c r="AM1" t="s">
        <v>221</v>
      </c>
      <c r="AN1" t="s">
        <v>222</v>
      </c>
      <c r="AO1" t="s">
        <v>223</v>
      </c>
      <c r="AP1" t="s">
        <v>224</v>
      </c>
      <c r="AQ1" t="s">
        <v>225</v>
      </c>
      <c r="AR1" t="s">
        <v>226</v>
      </c>
      <c r="AS1" t="s">
        <v>227</v>
      </c>
      <c r="AT1" t="s">
        <v>228</v>
      </c>
      <c r="AU1" t="s">
        <v>229</v>
      </c>
      <c r="AV1" t="s">
        <v>230</v>
      </c>
      <c r="AW1" t="s">
        <v>231</v>
      </c>
      <c r="AX1" t="s">
        <v>232</v>
      </c>
      <c r="AY1" t="s">
        <v>233</v>
      </c>
      <c r="AZ1" t="s">
        <v>234</v>
      </c>
      <c r="BA1" t="s">
        <v>235</v>
      </c>
      <c r="BB1" t="s">
        <v>236</v>
      </c>
      <c r="BC1" t="s">
        <v>237</v>
      </c>
      <c r="BD1" t="s">
        <v>238</v>
      </c>
      <c r="BE1" t="s">
        <v>239</v>
      </c>
      <c r="BF1" t="s">
        <v>240</v>
      </c>
      <c r="BG1" t="s">
        <v>241</v>
      </c>
      <c r="BH1" t="s">
        <v>242</v>
      </c>
      <c r="BI1" t="s">
        <v>243</v>
      </c>
      <c r="BJ1" t="s">
        <v>244</v>
      </c>
      <c r="BK1" t="s">
        <v>245</v>
      </c>
      <c r="BL1" t="s">
        <v>246</v>
      </c>
      <c r="BM1" t="s">
        <v>247</v>
      </c>
      <c r="BN1" t="s">
        <v>248</v>
      </c>
      <c r="BO1" t="s">
        <v>249</v>
      </c>
      <c r="BP1" t="s">
        <v>250</v>
      </c>
      <c r="BQ1" t="s">
        <v>251</v>
      </c>
      <c r="BR1" t="s">
        <v>252</v>
      </c>
      <c r="BS1" t="s">
        <v>253</v>
      </c>
      <c r="BT1" t="s">
        <v>254</v>
      </c>
      <c r="BU1" t="s">
        <v>255</v>
      </c>
      <c r="BV1" t="s">
        <v>256</v>
      </c>
      <c r="BW1" t="s">
        <v>257</v>
      </c>
      <c r="BX1" t="s">
        <v>258</v>
      </c>
      <c r="BY1" t="s">
        <v>259</v>
      </c>
      <c r="BZ1" t="s">
        <v>260</v>
      </c>
      <c r="CA1" t="s">
        <v>261</v>
      </c>
      <c r="CB1" t="s">
        <v>262</v>
      </c>
      <c r="CC1" t="s">
        <v>263</v>
      </c>
      <c r="CD1" t="s">
        <v>264</v>
      </c>
      <c r="CE1" t="s">
        <v>265</v>
      </c>
      <c r="CF1" t="s">
        <v>266</v>
      </c>
      <c r="CG1" t="s">
        <v>267</v>
      </c>
      <c r="CH1" t="s">
        <v>268</v>
      </c>
      <c r="CI1" t="s">
        <v>269</v>
      </c>
      <c r="CJ1" t="s">
        <v>270</v>
      </c>
      <c r="CK1" t="s">
        <v>271</v>
      </c>
      <c r="CL1" t="s">
        <v>272</v>
      </c>
      <c r="CM1" t="s">
        <v>273</v>
      </c>
      <c r="CN1" t="s">
        <v>274</v>
      </c>
      <c r="CO1" t="s">
        <v>275</v>
      </c>
      <c r="CP1" t="s">
        <v>276</v>
      </c>
      <c r="CQ1" t="s">
        <v>277</v>
      </c>
      <c r="CR1" t="s">
        <v>278</v>
      </c>
      <c r="CS1" t="s">
        <v>279</v>
      </c>
      <c r="CT1" t="s">
        <v>280</v>
      </c>
      <c r="CU1" t="s">
        <v>281</v>
      </c>
      <c r="CV1" t="s">
        <v>282</v>
      </c>
      <c r="CW1" t="s">
        <v>283</v>
      </c>
      <c r="CX1" t="s">
        <v>284</v>
      </c>
      <c r="CY1" t="s">
        <v>285</v>
      </c>
      <c r="CZ1" t="s">
        <v>286</v>
      </c>
      <c r="DA1" t="s">
        <v>287</v>
      </c>
      <c r="DB1" t="s">
        <v>288</v>
      </c>
      <c r="DC1" t="s">
        <v>289</v>
      </c>
      <c r="DD1" t="s">
        <v>1174</v>
      </c>
      <c r="DE1" t="s">
        <v>1175</v>
      </c>
      <c r="DF1" t="s">
        <v>1176</v>
      </c>
      <c r="DG1" t="s">
        <v>1177</v>
      </c>
      <c r="DH1" t="s">
        <v>1178</v>
      </c>
      <c r="DI1" t="s">
        <v>1179</v>
      </c>
      <c r="DJ1" t="s">
        <v>1180</v>
      </c>
      <c r="DK1" t="s">
        <v>1181</v>
      </c>
      <c r="DL1" t="s">
        <v>1182</v>
      </c>
      <c r="DM1" t="s">
        <v>1183</v>
      </c>
      <c r="DN1" t="s">
        <v>1184</v>
      </c>
      <c r="DO1" t="s">
        <v>1185</v>
      </c>
      <c r="DP1" t="s">
        <v>1186</v>
      </c>
      <c r="DQ1" t="s">
        <v>1187</v>
      </c>
      <c r="DR1" t="s">
        <v>1188</v>
      </c>
      <c r="DS1" t="s">
        <v>1189</v>
      </c>
      <c r="DT1" t="s">
        <v>1190</v>
      </c>
      <c r="DU1" t="s">
        <v>1191</v>
      </c>
      <c r="DV1" t="s">
        <v>1192</v>
      </c>
      <c r="DW1" t="s">
        <v>1193</v>
      </c>
      <c r="DX1" t="s">
        <v>1194</v>
      </c>
      <c r="DY1" t="s">
        <v>1195</v>
      </c>
      <c r="DZ1" t="s">
        <v>1196</v>
      </c>
      <c r="EA1" t="s">
        <v>1197</v>
      </c>
      <c r="EB1" t="s">
        <v>1198</v>
      </c>
      <c r="EC1" t="s">
        <v>1199</v>
      </c>
      <c r="ED1" t="s">
        <v>1200</v>
      </c>
      <c r="EE1" t="s">
        <v>1201</v>
      </c>
      <c r="EF1" t="s">
        <v>1202</v>
      </c>
      <c r="EG1" t="s">
        <v>1203</v>
      </c>
      <c r="EH1" t="s">
        <v>1204</v>
      </c>
      <c r="EI1" t="s">
        <v>1205</v>
      </c>
      <c r="EJ1" t="s">
        <v>1206</v>
      </c>
      <c r="EK1" t="s">
        <v>1207</v>
      </c>
      <c r="EL1" t="s">
        <v>1208</v>
      </c>
      <c r="EM1" t="s">
        <v>1209</v>
      </c>
      <c r="EN1" t="s">
        <v>1210</v>
      </c>
      <c r="EO1" t="s">
        <v>1211</v>
      </c>
      <c r="EP1" t="s">
        <v>1212</v>
      </c>
      <c r="EQ1" t="s">
        <v>1213</v>
      </c>
      <c r="ER1" t="s">
        <v>1214</v>
      </c>
      <c r="ES1" t="s">
        <v>1215</v>
      </c>
      <c r="ET1" t="s">
        <v>1216</v>
      </c>
      <c r="EU1" t="s">
        <v>1217</v>
      </c>
      <c r="EV1" t="s">
        <v>1218</v>
      </c>
      <c r="EW1" t="s">
        <v>1219</v>
      </c>
      <c r="EX1" t="s">
        <v>1220</v>
      </c>
      <c r="EY1" t="s">
        <v>1221</v>
      </c>
      <c r="EZ1" t="s">
        <v>1222</v>
      </c>
      <c r="FA1" t="s">
        <v>1223</v>
      </c>
      <c r="FB1" t="s">
        <v>1224</v>
      </c>
      <c r="FC1" t="s">
        <v>1225</v>
      </c>
      <c r="FD1" t="s">
        <v>1226</v>
      </c>
      <c r="FE1" t="s">
        <v>1227</v>
      </c>
      <c r="FF1" t="s">
        <v>1228</v>
      </c>
      <c r="FG1" t="s">
        <v>1229</v>
      </c>
      <c r="FH1" t="s">
        <v>1230</v>
      </c>
      <c r="FI1" t="s">
        <v>1231</v>
      </c>
      <c r="FJ1" t="s">
        <v>1232</v>
      </c>
      <c r="FK1" t="s">
        <v>1233</v>
      </c>
      <c r="FL1" t="s">
        <v>1234</v>
      </c>
      <c r="FM1" t="s">
        <v>1235</v>
      </c>
      <c r="FN1" t="s">
        <v>1236</v>
      </c>
      <c r="FO1" t="s">
        <v>1237</v>
      </c>
      <c r="FP1" t="s">
        <v>1238</v>
      </c>
      <c r="FQ1" t="s">
        <v>1239</v>
      </c>
      <c r="FR1" t="s">
        <v>1240</v>
      </c>
      <c r="FS1" t="s">
        <v>1241</v>
      </c>
      <c r="FT1" t="s">
        <v>1242</v>
      </c>
      <c r="FU1" t="s">
        <v>1243</v>
      </c>
      <c r="FV1" t="s">
        <v>1244</v>
      </c>
      <c r="FW1" t="s">
        <v>1245</v>
      </c>
      <c r="FX1" t="s">
        <v>1246</v>
      </c>
      <c r="FY1" t="s">
        <v>1247</v>
      </c>
      <c r="FZ1" t="s">
        <v>1248</v>
      </c>
      <c r="GA1" t="s">
        <v>1249</v>
      </c>
      <c r="GB1" t="s">
        <v>1250</v>
      </c>
      <c r="GC1" t="s">
        <v>1251</v>
      </c>
      <c r="GD1" t="s">
        <v>1252</v>
      </c>
      <c r="GE1" t="s">
        <v>1253</v>
      </c>
      <c r="GF1" t="s">
        <v>1254</v>
      </c>
      <c r="GG1" t="s">
        <v>1255</v>
      </c>
      <c r="GH1" t="s">
        <v>1256</v>
      </c>
      <c r="GI1" t="s">
        <v>1257</v>
      </c>
      <c r="GJ1" t="s">
        <v>1258</v>
      </c>
      <c r="GK1" t="s">
        <v>1259</v>
      </c>
      <c r="GL1" t="s">
        <v>1260</v>
      </c>
      <c r="GM1" t="s">
        <v>1261</v>
      </c>
      <c r="GN1" t="s">
        <v>1262</v>
      </c>
      <c r="GO1" t="s">
        <v>1263</v>
      </c>
      <c r="GP1" t="s">
        <v>1264</v>
      </c>
      <c r="GQ1" t="s">
        <v>1265</v>
      </c>
      <c r="GR1" t="s">
        <v>1266</v>
      </c>
      <c r="GS1" t="s">
        <v>1267</v>
      </c>
      <c r="GT1" t="s">
        <v>1268</v>
      </c>
      <c r="GU1" t="s">
        <v>1269</v>
      </c>
      <c r="GV1" t="s">
        <v>1270</v>
      </c>
      <c r="GW1" t="s">
        <v>1271</v>
      </c>
      <c r="GX1" t="s">
        <v>1272</v>
      </c>
      <c r="GY1" t="s">
        <v>1273</v>
      </c>
      <c r="GZ1" t="s">
        <v>1274</v>
      </c>
      <c r="HA1" t="s">
        <v>1275</v>
      </c>
      <c r="HB1" t="s">
        <v>1276</v>
      </c>
      <c r="HC1" t="s">
        <v>1277</v>
      </c>
      <c r="HD1" t="s">
        <v>1278</v>
      </c>
      <c r="HE1" t="s">
        <v>1279</v>
      </c>
      <c r="HF1" t="s">
        <v>1280</v>
      </c>
      <c r="HG1" t="s">
        <v>1281</v>
      </c>
      <c r="HH1" t="s">
        <v>1282</v>
      </c>
      <c r="HI1" t="s">
        <v>1283</v>
      </c>
      <c r="HJ1" t="s">
        <v>1284</v>
      </c>
      <c r="HK1" t="s">
        <v>1285</v>
      </c>
      <c r="HL1" t="s">
        <v>1286</v>
      </c>
      <c r="HM1" t="s">
        <v>1287</v>
      </c>
      <c r="HN1" t="s">
        <v>1288</v>
      </c>
      <c r="HO1" t="s">
        <v>1289</v>
      </c>
      <c r="HP1" t="s">
        <v>1290</v>
      </c>
      <c r="HQ1" t="s">
        <v>1291</v>
      </c>
      <c r="HR1" t="s">
        <v>1292</v>
      </c>
      <c r="HS1" t="s">
        <v>1293</v>
      </c>
      <c r="HT1" t="s">
        <v>1294</v>
      </c>
      <c r="HU1" t="s">
        <v>1295</v>
      </c>
      <c r="HV1" t="s">
        <v>1296</v>
      </c>
      <c r="HW1" t="s">
        <v>1297</v>
      </c>
      <c r="HX1" t="s">
        <v>1298</v>
      </c>
      <c r="HY1" t="s">
        <v>1299</v>
      </c>
      <c r="HZ1" t="s">
        <v>1300</v>
      </c>
      <c r="IA1" t="s">
        <v>1301</v>
      </c>
      <c r="IB1" t="s">
        <v>1302</v>
      </c>
      <c r="IC1" t="s">
        <v>1303</v>
      </c>
      <c r="ID1" t="s">
        <v>1304</v>
      </c>
      <c r="IE1" t="s">
        <v>1305</v>
      </c>
      <c r="IF1" t="s">
        <v>1306</v>
      </c>
      <c r="IG1" t="s">
        <v>1307</v>
      </c>
      <c r="IH1" t="s">
        <v>1308</v>
      </c>
      <c r="II1" t="s">
        <v>1309</v>
      </c>
      <c r="IJ1" t="s">
        <v>1310</v>
      </c>
      <c r="IK1" t="s">
        <v>1311</v>
      </c>
      <c r="IL1" t="s">
        <v>1312</v>
      </c>
      <c r="IM1" t="s">
        <v>1313</v>
      </c>
      <c r="IN1" t="s">
        <v>1314</v>
      </c>
      <c r="IO1" t="s">
        <v>1315</v>
      </c>
      <c r="IP1" t="s">
        <v>1316</v>
      </c>
      <c r="IQ1" t="s">
        <v>1317</v>
      </c>
      <c r="IR1" t="s">
        <v>1318</v>
      </c>
      <c r="IS1" t="s">
        <v>1319</v>
      </c>
      <c r="IT1" t="s">
        <v>1320</v>
      </c>
      <c r="IU1" t="s">
        <v>1321</v>
      </c>
      <c r="IV1" t="s">
        <v>1322</v>
      </c>
      <c r="IW1" t="s">
        <v>1323</v>
      </c>
      <c r="IX1" t="s">
        <v>1324</v>
      </c>
      <c r="IY1" t="s">
        <v>1325</v>
      </c>
      <c r="IZ1" t="s">
        <v>1326</v>
      </c>
      <c r="JA1" t="s">
        <v>1327</v>
      </c>
      <c r="JB1" t="s">
        <v>1328</v>
      </c>
      <c r="JC1" t="s">
        <v>1329</v>
      </c>
      <c r="JD1" t="s">
        <v>1330</v>
      </c>
      <c r="JE1" t="s">
        <v>1331</v>
      </c>
      <c r="JF1" t="s">
        <v>1332</v>
      </c>
      <c r="JG1" t="s">
        <v>1333</v>
      </c>
      <c r="JH1" t="s">
        <v>1334</v>
      </c>
      <c r="JI1" t="s">
        <v>1335</v>
      </c>
      <c r="JJ1" t="s">
        <v>1336</v>
      </c>
      <c r="JK1" t="s">
        <v>1337</v>
      </c>
      <c r="JL1" t="s">
        <v>1338</v>
      </c>
      <c r="JM1" t="s">
        <v>1339</v>
      </c>
      <c r="JN1" t="s">
        <v>1340</v>
      </c>
      <c r="JO1" t="s">
        <v>1341</v>
      </c>
      <c r="JP1" t="s">
        <v>1342</v>
      </c>
      <c r="JQ1" t="s">
        <v>1343</v>
      </c>
      <c r="JR1" t="s">
        <v>1344</v>
      </c>
      <c r="JS1" t="s">
        <v>1345</v>
      </c>
      <c r="JT1" t="s">
        <v>1346</v>
      </c>
      <c r="JU1" t="s">
        <v>1347</v>
      </c>
      <c r="JV1" t="s">
        <v>1348</v>
      </c>
      <c r="JW1" t="s">
        <v>1349</v>
      </c>
      <c r="JX1" t="s">
        <v>1350</v>
      </c>
      <c r="JY1" t="s">
        <v>1351</v>
      </c>
      <c r="JZ1" t="s">
        <v>1352</v>
      </c>
      <c r="KA1" t="s">
        <v>1353</v>
      </c>
      <c r="KB1" t="s">
        <v>1354</v>
      </c>
      <c r="KC1" t="s">
        <v>1355</v>
      </c>
      <c r="KD1" t="s">
        <v>1356</v>
      </c>
      <c r="KE1" t="s">
        <v>1357</v>
      </c>
      <c r="KF1" t="s">
        <v>1358</v>
      </c>
    </row>
    <row r="2" spans="1:292" x14ac:dyDescent="0.3">
      <c r="A2">
        <v>8054</v>
      </c>
      <c r="B2" t="s">
        <v>34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0</v>
      </c>
      <c r="AA2">
        <v>3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</row>
    <row r="3" spans="1:292" x14ac:dyDescent="0.3">
      <c r="A3">
        <v>8158</v>
      </c>
      <c r="B3" t="s">
        <v>34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0</v>
      </c>
      <c r="AA3">
        <v>3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</row>
    <row r="4" spans="1:292" x14ac:dyDescent="0.3">
      <c r="A4" t="s">
        <v>149</v>
      </c>
      <c r="B4" t="s">
        <v>34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</row>
    <row r="5" spans="1:292" x14ac:dyDescent="0.3">
      <c r="A5" t="s">
        <v>150</v>
      </c>
      <c r="B5" t="s">
        <v>36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1</v>
      </c>
      <c r="AM5">
        <v>1</v>
      </c>
      <c r="AN5">
        <v>1</v>
      </c>
      <c r="AO5">
        <v>1</v>
      </c>
      <c r="AP5">
        <v>2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</row>
    <row r="6" spans="1:292" x14ac:dyDescent="0.3">
      <c r="A6" t="s">
        <v>151</v>
      </c>
      <c r="B6" t="s">
        <v>36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2</v>
      </c>
      <c r="T6">
        <v>1</v>
      </c>
      <c r="U6">
        <v>1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2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</row>
    <row r="7" spans="1:292" x14ac:dyDescent="0.3">
      <c r="A7" t="s">
        <v>152</v>
      </c>
      <c r="B7" t="s">
        <v>34</v>
      </c>
      <c r="C7">
        <v>2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1</v>
      </c>
      <c r="Y7">
        <v>1</v>
      </c>
      <c r="Z7">
        <v>2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</v>
      </c>
      <c r="BU7">
        <v>1</v>
      </c>
      <c r="BV7">
        <v>1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1</v>
      </c>
      <c r="DX7">
        <v>1</v>
      </c>
      <c r="DY7">
        <v>1</v>
      </c>
      <c r="DZ7">
        <v>1</v>
      </c>
      <c r="EA7">
        <v>1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</row>
    <row r="8" spans="1:292" x14ac:dyDescent="0.3">
      <c r="A8" t="s">
        <v>153</v>
      </c>
      <c r="B8" t="s">
        <v>34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2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</row>
    <row r="9" spans="1:292" x14ac:dyDescent="0.3">
      <c r="A9" t="s">
        <v>154</v>
      </c>
      <c r="B9" t="s">
        <v>34</v>
      </c>
      <c r="C9">
        <v>4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2</v>
      </c>
      <c r="Q9">
        <v>1</v>
      </c>
      <c r="R9">
        <v>0</v>
      </c>
      <c r="S9">
        <v>1</v>
      </c>
      <c r="T9">
        <v>1</v>
      </c>
      <c r="U9">
        <v>1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2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1</v>
      </c>
      <c r="EI9">
        <v>1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</row>
    <row r="10" spans="1:292" x14ac:dyDescent="0.3">
      <c r="A10" t="s">
        <v>155</v>
      </c>
      <c r="B10" t="s">
        <v>34</v>
      </c>
      <c r="C10">
        <v>3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0</v>
      </c>
      <c r="P10">
        <v>2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</row>
    <row r="11" spans="1:292" x14ac:dyDescent="0.3">
      <c r="A11" t="s">
        <v>156</v>
      </c>
      <c r="B11" t="s">
        <v>34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3</v>
      </c>
      <c r="Q11">
        <v>1</v>
      </c>
      <c r="R11">
        <v>0</v>
      </c>
      <c r="S11">
        <v>0</v>
      </c>
      <c r="T11">
        <v>0</v>
      </c>
      <c r="U11">
        <v>1</v>
      </c>
      <c r="V11">
        <v>1</v>
      </c>
      <c r="W11">
        <v>1</v>
      </c>
      <c r="X11">
        <v>1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2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</row>
    <row r="12" spans="1:292" x14ac:dyDescent="0.3">
      <c r="A12" t="s">
        <v>157</v>
      </c>
      <c r="B12" t="s">
        <v>34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0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0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</row>
    <row r="13" spans="1:292" x14ac:dyDescent="0.3">
      <c r="A13" t="s">
        <v>158</v>
      </c>
      <c r="B13" t="s">
        <v>33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1</v>
      </c>
      <c r="AU13">
        <v>1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1</v>
      </c>
      <c r="FP13">
        <v>1</v>
      </c>
      <c r="FQ13">
        <v>1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</row>
    <row r="14" spans="1:292" x14ac:dyDescent="0.3">
      <c r="A14" t="s">
        <v>159</v>
      </c>
      <c r="B14" t="s">
        <v>34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1</v>
      </c>
      <c r="X14">
        <v>1</v>
      </c>
      <c r="Y14">
        <v>1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</row>
    <row r="15" spans="1:292" x14ac:dyDescent="0.3">
      <c r="A15" t="s">
        <v>160</v>
      </c>
      <c r="B15" t="s">
        <v>34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4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1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</row>
    <row r="16" spans="1:292" x14ac:dyDescent="0.3">
      <c r="A16" t="s">
        <v>161</v>
      </c>
      <c r="B16" t="s">
        <v>33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1</v>
      </c>
      <c r="AU16">
        <v>1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1</v>
      </c>
      <c r="CC16">
        <v>1</v>
      </c>
      <c r="CD16">
        <v>0</v>
      </c>
      <c r="CE16">
        <v>1</v>
      </c>
      <c r="CF16">
        <v>1</v>
      </c>
      <c r="CG16">
        <v>1</v>
      </c>
      <c r="CH16">
        <v>1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1</v>
      </c>
      <c r="GA16">
        <v>1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</row>
    <row r="17" spans="1:292" x14ac:dyDescent="0.3">
      <c r="A17" t="s">
        <v>162</v>
      </c>
      <c r="B17" t="s">
        <v>55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1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1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</row>
    <row r="18" spans="1:292" x14ac:dyDescent="0.3">
      <c r="A18" t="s">
        <v>163</v>
      </c>
      <c r="B18" t="s">
        <v>55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1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</row>
    <row r="19" spans="1:292" x14ac:dyDescent="0.3">
      <c r="A19" t="s">
        <v>164</v>
      </c>
      <c r="B19" t="s">
        <v>55</v>
      </c>
      <c r="C19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1</v>
      </c>
      <c r="AE19">
        <v>2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1</v>
      </c>
      <c r="AN19">
        <v>1</v>
      </c>
      <c r="AO19">
        <v>1</v>
      </c>
      <c r="AP19">
        <v>0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</row>
    <row r="20" spans="1:292" x14ac:dyDescent="0.3">
      <c r="A20" t="s">
        <v>165</v>
      </c>
      <c r="B20" t="s">
        <v>34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2</v>
      </c>
      <c r="S20">
        <v>1</v>
      </c>
      <c r="T20">
        <v>1</v>
      </c>
      <c r="U20">
        <v>2</v>
      </c>
      <c r="V20">
        <v>1</v>
      </c>
      <c r="W20">
        <v>1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1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1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</row>
    <row r="21" spans="1:292" x14ac:dyDescent="0.3">
      <c r="A21" t="s">
        <v>166</v>
      </c>
      <c r="B21" t="s">
        <v>34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0</v>
      </c>
      <c r="S21">
        <v>2</v>
      </c>
      <c r="T21">
        <v>1</v>
      </c>
      <c r="U21">
        <v>1</v>
      </c>
      <c r="V21">
        <v>0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2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</row>
    <row r="22" spans="1:292" x14ac:dyDescent="0.3">
      <c r="A22" t="s">
        <v>167</v>
      </c>
      <c r="B22" t="s">
        <v>36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2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1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</row>
    <row r="23" spans="1:292" x14ac:dyDescent="0.3">
      <c r="A23" t="s">
        <v>168</v>
      </c>
      <c r="B23" t="s">
        <v>36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2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1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</row>
    <row r="24" spans="1:292" x14ac:dyDescent="0.3">
      <c r="A24" t="s">
        <v>169</v>
      </c>
      <c r="B24" t="s">
        <v>55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1</v>
      </c>
      <c r="CO24">
        <v>1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1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</row>
    <row r="25" spans="1:292" x14ac:dyDescent="0.3">
      <c r="A25" t="s">
        <v>170</v>
      </c>
      <c r="B25" t="s">
        <v>33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0</v>
      </c>
      <c r="Q25">
        <v>1</v>
      </c>
      <c r="R25">
        <v>0</v>
      </c>
      <c r="S25">
        <v>0</v>
      </c>
      <c r="T25">
        <v>1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1</v>
      </c>
      <c r="AU25">
        <v>1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</row>
    <row r="26" spans="1:292" x14ac:dyDescent="0.3">
      <c r="A26" t="s">
        <v>171</v>
      </c>
      <c r="B26" t="s">
        <v>33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0</v>
      </c>
      <c r="Q26">
        <v>1</v>
      </c>
      <c r="R26">
        <v>0</v>
      </c>
      <c r="S26">
        <v>0</v>
      </c>
      <c r="T26">
        <v>1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1</v>
      </c>
      <c r="AU26">
        <v>1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</row>
    <row r="27" spans="1:292" x14ac:dyDescent="0.3">
      <c r="A27" t="s">
        <v>172</v>
      </c>
      <c r="B27" t="s">
        <v>34</v>
      </c>
      <c r="C27">
        <v>2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0</v>
      </c>
      <c r="W27">
        <v>1</v>
      </c>
      <c r="X27">
        <v>1</v>
      </c>
      <c r="Y27">
        <v>1</v>
      </c>
      <c r="Z27">
        <v>0</v>
      </c>
      <c r="AA27">
        <v>0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1</v>
      </c>
      <c r="CY27">
        <v>1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</row>
    <row r="28" spans="1:292" x14ac:dyDescent="0.3">
      <c r="A28" t="s">
        <v>173</v>
      </c>
      <c r="B28" t="s">
        <v>34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2</v>
      </c>
      <c r="S28">
        <v>1</v>
      </c>
      <c r="T28">
        <v>1</v>
      </c>
      <c r="U28">
        <v>2</v>
      </c>
      <c r="V28">
        <v>1</v>
      </c>
      <c r="W28">
        <v>1</v>
      </c>
      <c r="X28">
        <v>1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</v>
      </c>
      <c r="CL28">
        <v>1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1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</row>
    <row r="29" spans="1:292" x14ac:dyDescent="0.3">
      <c r="A29" t="s">
        <v>174</v>
      </c>
      <c r="B29" t="s">
        <v>34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4</v>
      </c>
      <c r="S29">
        <v>1</v>
      </c>
      <c r="T29">
        <v>1</v>
      </c>
      <c r="U29">
        <v>1</v>
      </c>
      <c r="V29">
        <v>1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1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</row>
    <row r="30" spans="1:292" x14ac:dyDescent="0.3">
      <c r="A30" t="s">
        <v>175</v>
      </c>
      <c r="B30" t="s">
        <v>34</v>
      </c>
      <c r="C30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2</v>
      </c>
      <c r="Q30">
        <v>1</v>
      </c>
      <c r="R30">
        <v>1</v>
      </c>
      <c r="S30">
        <v>1</v>
      </c>
      <c r="T30">
        <v>1</v>
      </c>
      <c r="U30">
        <v>1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</row>
    <row r="31" spans="1:292" x14ac:dyDescent="0.3">
      <c r="A31" t="s">
        <v>176</v>
      </c>
      <c r="B31" t="s">
        <v>34</v>
      </c>
      <c r="C31">
        <v>2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0</v>
      </c>
      <c r="S31">
        <v>1</v>
      </c>
      <c r="T31">
        <v>1</v>
      </c>
      <c r="U31">
        <v>0</v>
      </c>
      <c r="V31">
        <v>0</v>
      </c>
      <c r="W31">
        <v>1</v>
      </c>
      <c r="X31">
        <v>1</v>
      </c>
      <c r="Y31">
        <v>1</v>
      </c>
      <c r="Z31">
        <v>2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</v>
      </c>
      <c r="BU31">
        <v>1</v>
      </c>
      <c r="BV31">
        <v>1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</row>
    <row r="32" spans="1:292" x14ac:dyDescent="0.3">
      <c r="A32" t="s">
        <v>177</v>
      </c>
      <c r="B32" t="s">
        <v>91</v>
      </c>
      <c r="C32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1</v>
      </c>
      <c r="IQ32">
        <v>1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</row>
    <row r="33" spans="1:292" x14ac:dyDescent="0.3">
      <c r="A33" t="s">
        <v>178</v>
      </c>
      <c r="B33" t="s">
        <v>34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0</v>
      </c>
      <c r="W33">
        <v>1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1</v>
      </c>
      <c r="CY33">
        <v>1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1</v>
      </c>
      <c r="IS33">
        <v>1</v>
      </c>
      <c r="IT33">
        <v>1</v>
      </c>
      <c r="IU33">
        <v>1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</row>
    <row r="34" spans="1:292" x14ac:dyDescent="0.3">
      <c r="A34" t="s">
        <v>179</v>
      </c>
      <c r="B34" t="s">
        <v>55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1</v>
      </c>
      <c r="CO34">
        <v>1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1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</row>
    <row r="35" spans="1:292" x14ac:dyDescent="0.3">
      <c r="A35" t="s">
        <v>180</v>
      </c>
      <c r="B35" t="s">
        <v>34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3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1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</row>
    <row r="36" spans="1:292" x14ac:dyDescent="0.3">
      <c r="A36" t="s">
        <v>181</v>
      </c>
      <c r="B36" t="s">
        <v>34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0</v>
      </c>
      <c r="W36">
        <v>1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2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</row>
    <row r="37" spans="1:292" x14ac:dyDescent="0.3">
      <c r="A37" t="s">
        <v>182</v>
      </c>
      <c r="B37" t="s">
        <v>36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1</v>
      </c>
      <c r="JE37">
        <v>1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</row>
    <row r="38" spans="1:292" x14ac:dyDescent="0.3">
      <c r="A38" t="s">
        <v>183</v>
      </c>
      <c r="B38" t="s">
        <v>35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3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2</v>
      </c>
      <c r="DB38">
        <v>2</v>
      </c>
      <c r="DC38">
        <v>2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860D-B439-4481-9E95-3D83EA34B8F5}">
  <dimension ref="A1:B86"/>
  <sheetViews>
    <sheetView workbookViewId="0">
      <selection activeCell="A2" sqref="A2"/>
    </sheetView>
  </sheetViews>
  <sheetFormatPr defaultRowHeight="14" x14ac:dyDescent="0.3"/>
  <cols>
    <col min="1" max="1" width="20.796875" customWidth="1"/>
    <col min="2" max="2" width="57.59765625" bestFit="1" customWidth="1"/>
  </cols>
  <sheetData>
    <row r="1" spans="1:2" x14ac:dyDescent="0.3">
      <c r="A1" t="s">
        <v>1484</v>
      </c>
      <c r="B1" t="s">
        <v>1435</v>
      </c>
    </row>
    <row r="2" spans="1:2" x14ac:dyDescent="0.3">
      <c r="A2" t="s">
        <v>185</v>
      </c>
      <c r="B2" t="s">
        <v>1359</v>
      </c>
    </row>
    <row r="3" spans="1:2" x14ac:dyDescent="0.3">
      <c r="A3" t="s">
        <v>185</v>
      </c>
      <c r="B3" t="s">
        <v>1360</v>
      </c>
    </row>
    <row r="4" spans="1:2" x14ac:dyDescent="0.3">
      <c r="A4" t="s">
        <v>185</v>
      </c>
      <c r="B4" t="s">
        <v>1361</v>
      </c>
    </row>
    <row r="5" spans="1:2" x14ac:dyDescent="0.3">
      <c r="A5" t="s">
        <v>186</v>
      </c>
      <c r="B5" t="s">
        <v>1362</v>
      </c>
    </row>
    <row r="6" spans="1:2" x14ac:dyDescent="0.3">
      <c r="A6" t="s">
        <v>187</v>
      </c>
      <c r="B6" t="s">
        <v>1363</v>
      </c>
    </row>
    <row r="7" spans="1:2" x14ac:dyDescent="0.3">
      <c r="A7" t="s">
        <v>188</v>
      </c>
      <c r="B7" t="s">
        <v>1364</v>
      </c>
    </row>
    <row r="8" spans="1:2" x14ac:dyDescent="0.3">
      <c r="A8" t="s">
        <v>189</v>
      </c>
      <c r="B8" t="s">
        <v>1365</v>
      </c>
    </row>
    <row r="9" spans="1:2" x14ac:dyDescent="0.3">
      <c r="A9" t="s">
        <v>190</v>
      </c>
      <c r="B9" t="s">
        <v>1366</v>
      </c>
    </row>
    <row r="10" spans="1:2" x14ac:dyDescent="0.3">
      <c r="A10" t="s">
        <v>191</v>
      </c>
      <c r="B10" t="s">
        <v>1367</v>
      </c>
    </row>
    <row r="11" spans="1:2" x14ac:dyDescent="0.3">
      <c r="A11" t="s">
        <v>192</v>
      </c>
      <c r="B11" t="s">
        <v>1368</v>
      </c>
    </row>
    <row r="12" spans="1:2" x14ac:dyDescent="0.3">
      <c r="A12" t="s">
        <v>193</v>
      </c>
      <c r="B12" t="s">
        <v>1369</v>
      </c>
    </row>
    <row r="13" spans="1:2" x14ac:dyDescent="0.3">
      <c r="A13" t="s">
        <v>194</v>
      </c>
      <c r="B13" t="s">
        <v>1370</v>
      </c>
    </row>
    <row r="14" spans="1:2" x14ac:dyDescent="0.3">
      <c r="A14" t="s">
        <v>195</v>
      </c>
      <c r="B14" t="s">
        <v>1371</v>
      </c>
    </row>
    <row r="15" spans="1:2" x14ac:dyDescent="0.3">
      <c r="A15" t="s">
        <v>196</v>
      </c>
      <c r="B15" t="s">
        <v>1372</v>
      </c>
    </row>
    <row r="16" spans="1:2" x14ac:dyDescent="0.3">
      <c r="A16" t="s">
        <v>197</v>
      </c>
      <c r="B16" t="s">
        <v>1373</v>
      </c>
    </row>
    <row r="17" spans="1:2" x14ac:dyDescent="0.3">
      <c r="A17" t="s">
        <v>198</v>
      </c>
      <c r="B17" t="s">
        <v>1374</v>
      </c>
    </row>
    <row r="18" spans="1:2" x14ac:dyDescent="0.3">
      <c r="A18" t="s">
        <v>198</v>
      </c>
      <c r="B18" t="s">
        <v>1375</v>
      </c>
    </row>
    <row r="19" spans="1:2" x14ac:dyDescent="0.3">
      <c r="A19" t="s">
        <v>199</v>
      </c>
      <c r="B19" t="s">
        <v>1376</v>
      </c>
    </row>
    <row r="20" spans="1:2" x14ac:dyDescent="0.3">
      <c r="A20" t="s">
        <v>200</v>
      </c>
      <c r="B20" t="s">
        <v>1377</v>
      </c>
    </row>
    <row r="21" spans="1:2" x14ac:dyDescent="0.3">
      <c r="A21" t="s">
        <v>201</v>
      </c>
      <c r="B21" t="s">
        <v>1378</v>
      </c>
    </row>
    <row r="22" spans="1:2" x14ac:dyDescent="0.3">
      <c r="A22" t="s">
        <v>202</v>
      </c>
      <c r="B22" t="s">
        <v>1379</v>
      </c>
    </row>
    <row r="23" spans="1:2" x14ac:dyDescent="0.3">
      <c r="A23" t="s">
        <v>202</v>
      </c>
      <c r="B23" t="s">
        <v>1380</v>
      </c>
    </row>
    <row r="24" spans="1:2" x14ac:dyDescent="0.3">
      <c r="A24" t="s">
        <v>202</v>
      </c>
      <c r="B24" t="s">
        <v>1381</v>
      </c>
    </row>
    <row r="25" spans="1:2" x14ac:dyDescent="0.3">
      <c r="A25" t="s">
        <v>203</v>
      </c>
      <c r="B25" t="s">
        <v>1382</v>
      </c>
    </row>
    <row r="26" spans="1:2" x14ac:dyDescent="0.3">
      <c r="A26" t="s">
        <v>204</v>
      </c>
      <c r="B26" t="s">
        <v>1383</v>
      </c>
    </row>
    <row r="27" spans="1:2" x14ac:dyDescent="0.3">
      <c r="A27" t="s">
        <v>204</v>
      </c>
      <c r="B27" t="s">
        <v>1384</v>
      </c>
    </row>
    <row r="28" spans="1:2" x14ac:dyDescent="0.3">
      <c r="A28" t="s">
        <v>205</v>
      </c>
      <c r="B28" t="s">
        <v>1385</v>
      </c>
    </row>
    <row r="29" spans="1:2" x14ac:dyDescent="0.3">
      <c r="A29" t="s">
        <v>206</v>
      </c>
      <c r="B29" t="s">
        <v>1386</v>
      </c>
    </row>
    <row r="30" spans="1:2" x14ac:dyDescent="0.3">
      <c r="A30" t="s">
        <v>207</v>
      </c>
      <c r="B30" t="s">
        <v>1387</v>
      </c>
    </row>
    <row r="31" spans="1:2" x14ac:dyDescent="0.3">
      <c r="A31" t="s">
        <v>209</v>
      </c>
      <c r="B31" t="s">
        <v>1388</v>
      </c>
    </row>
    <row r="32" spans="1:2" x14ac:dyDescent="0.3">
      <c r="A32" t="s">
        <v>212</v>
      </c>
      <c r="B32" t="s">
        <v>1389</v>
      </c>
    </row>
    <row r="33" spans="1:2" x14ac:dyDescent="0.3">
      <c r="A33" t="s">
        <v>212</v>
      </c>
      <c r="B33" t="s">
        <v>1390</v>
      </c>
    </row>
    <row r="34" spans="1:2" x14ac:dyDescent="0.3">
      <c r="A34" t="s">
        <v>213</v>
      </c>
      <c r="B34" t="s">
        <v>1360</v>
      </c>
    </row>
    <row r="35" spans="1:2" x14ac:dyDescent="0.3">
      <c r="A35" t="s">
        <v>213</v>
      </c>
      <c r="B35" t="s">
        <v>1391</v>
      </c>
    </row>
    <row r="36" spans="1:2" x14ac:dyDescent="0.3">
      <c r="A36" t="s">
        <v>215</v>
      </c>
      <c r="B36" t="s">
        <v>1392</v>
      </c>
    </row>
    <row r="37" spans="1:2" x14ac:dyDescent="0.3">
      <c r="A37" t="s">
        <v>215</v>
      </c>
      <c r="B37" t="s">
        <v>1393</v>
      </c>
    </row>
    <row r="38" spans="1:2" x14ac:dyDescent="0.3">
      <c r="A38" t="s">
        <v>220</v>
      </c>
      <c r="B38" t="s">
        <v>1394</v>
      </c>
    </row>
    <row r="39" spans="1:2" x14ac:dyDescent="0.3">
      <c r="A39" t="s">
        <v>222</v>
      </c>
      <c r="B39" t="s">
        <v>1395</v>
      </c>
    </row>
    <row r="40" spans="1:2" x14ac:dyDescent="0.3">
      <c r="A40" t="s">
        <v>223</v>
      </c>
      <c r="B40" t="s">
        <v>1396</v>
      </c>
    </row>
    <row r="41" spans="1:2" x14ac:dyDescent="0.3">
      <c r="A41" t="s">
        <v>224</v>
      </c>
      <c r="B41" t="s">
        <v>1360</v>
      </c>
    </row>
    <row r="42" spans="1:2" x14ac:dyDescent="0.3">
      <c r="A42" t="s">
        <v>224</v>
      </c>
      <c r="B42" t="s">
        <v>1391</v>
      </c>
    </row>
    <row r="43" spans="1:2" x14ac:dyDescent="0.3">
      <c r="A43" t="s">
        <v>225</v>
      </c>
      <c r="B43" t="s">
        <v>1397</v>
      </c>
    </row>
    <row r="44" spans="1:2" x14ac:dyDescent="0.3">
      <c r="A44" t="s">
        <v>226</v>
      </c>
      <c r="B44" t="s">
        <v>1361</v>
      </c>
    </row>
    <row r="45" spans="1:2" x14ac:dyDescent="0.3">
      <c r="A45" t="s">
        <v>227</v>
      </c>
      <c r="B45" t="s">
        <v>1398</v>
      </c>
    </row>
    <row r="46" spans="1:2" x14ac:dyDescent="0.3">
      <c r="A46" t="s">
        <v>228</v>
      </c>
      <c r="B46" t="s">
        <v>1399</v>
      </c>
    </row>
    <row r="47" spans="1:2" x14ac:dyDescent="0.3">
      <c r="A47" t="s">
        <v>229</v>
      </c>
      <c r="B47" t="s">
        <v>1400</v>
      </c>
    </row>
    <row r="48" spans="1:2" x14ac:dyDescent="0.3">
      <c r="A48" t="s">
        <v>230</v>
      </c>
      <c r="B48" t="s">
        <v>1401</v>
      </c>
    </row>
    <row r="49" spans="1:2" x14ac:dyDescent="0.3">
      <c r="A49" t="s">
        <v>232</v>
      </c>
      <c r="B49" t="s">
        <v>1402</v>
      </c>
    </row>
    <row r="50" spans="1:2" x14ac:dyDescent="0.3">
      <c r="A50" t="s">
        <v>233</v>
      </c>
      <c r="B50" t="s">
        <v>1403</v>
      </c>
    </row>
    <row r="51" spans="1:2" x14ac:dyDescent="0.3">
      <c r="A51" t="s">
        <v>238</v>
      </c>
      <c r="B51" t="s">
        <v>1404</v>
      </c>
    </row>
    <row r="52" spans="1:2" x14ac:dyDescent="0.3">
      <c r="A52" t="s">
        <v>251</v>
      </c>
      <c r="B52" t="s">
        <v>1405</v>
      </c>
    </row>
    <row r="53" spans="1:2" x14ac:dyDescent="0.3">
      <c r="A53" t="s">
        <v>260</v>
      </c>
      <c r="B53" t="s">
        <v>1406</v>
      </c>
    </row>
    <row r="54" spans="1:2" x14ac:dyDescent="0.3">
      <c r="A54" t="s">
        <v>261</v>
      </c>
      <c r="B54" t="s">
        <v>1407</v>
      </c>
    </row>
    <row r="55" spans="1:2" x14ac:dyDescent="0.3">
      <c r="A55" t="s">
        <v>262</v>
      </c>
      <c r="B55" t="s">
        <v>1408</v>
      </c>
    </row>
    <row r="56" spans="1:2" x14ac:dyDescent="0.3">
      <c r="A56" t="s">
        <v>263</v>
      </c>
      <c r="B56" t="s">
        <v>1409</v>
      </c>
    </row>
    <row r="57" spans="1:2" x14ac:dyDescent="0.3">
      <c r="A57" t="s">
        <v>263</v>
      </c>
      <c r="B57" t="s">
        <v>1410</v>
      </c>
    </row>
    <row r="58" spans="1:2" x14ac:dyDescent="0.3">
      <c r="A58" t="s">
        <v>264</v>
      </c>
      <c r="B58" t="s">
        <v>1411</v>
      </c>
    </row>
    <row r="59" spans="1:2" x14ac:dyDescent="0.3">
      <c r="A59" t="s">
        <v>276</v>
      </c>
      <c r="B59" t="s">
        <v>1407</v>
      </c>
    </row>
    <row r="60" spans="1:2" x14ac:dyDescent="0.3">
      <c r="A60" t="s">
        <v>277</v>
      </c>
      <c r="B60" t="s">
        <v>1412</v>
      </c>
    </row>
    <row r="61" spans="1:2" x14ac:dyDescent="0.3">
      <c r="A61" t="s">
        <v>277</v>
      </c>
      <c r="B61" t="s">
        <v>1413</v>
      </c>
    </row>
    <row r="62" spans="1:2" x14ac:dyDescent="0.3">
      <c r="A62" t="s">
        <v>278</v>
      </c>
      <c r="B62" t="s">
        <v>1414</v>
      </c>
    </row>
    <row r="63" spans="1:2" x14ac:dyDescent="0.3">
      <c r="A63" t="s">
        <v>278</v>
      </c>
      <c r="B63" t="s">
        <v>1415</v>
      </c>
    </row>
    <row r="64" spans="1:2" x14ac:dyDescent="0.3">
      <c r="A64" t="s">
        <v>279</v>
      </c>
      <c r="B64" t="s">
        <v>1416</v>
      </c>
    </row>
    <row r="65" spans="1:2" x14ac:dyDescent="0.3">
      <c r="A65" t="s">
        <v>279</v>
      </c>
      <c r="B65" t="s">
        <v>1417</v>
      </c>
    </row>
    <row r="66" spans="1:2" x14ac:dyDescent="0.3">
      <c r="A66" t="s">
        <v>280</v>
      </c>
      <c r="B66" t="s">
        <v>1418</v>
      </c>
    </row>
    <row r="67" spans="1:2" x14ac:dyDescent="0.3">
      <c r="A67" t="s">
        <v>280</v>
      </c>
      <c r="B67" t="s">
        <v>1419</v>
      </c>
    </row>
    <row r="68" spans="1:2" x14ac:dyDescent="0.3">
      <c r="A68" t="s">
        <v>281</v>
      </c>
      <c r="B68" t="s">
        <v>1420</v>
      </c>
    </row>
    <row r="69" spans="1:2" x14ac:dyDescent="0.3">
      <c r="A69" t="s">
        <v>281</v>
      </c>
      <c r="B69" t="s">
        <v>1421</v>
      </c>
    </row>
    <row r="70" spans="1:2" x14ac:dyDescent="0.3">
      <c r="A70" t="s">
        <v>282</v>
      </c>
      <c r="B70" t="s">
        <v>1422</v>
      </c>
    </row>
    <row r="71" spans="1:2" x14ac:dyDescent="0.3">
      <c r="A71" t="s">
        <v>283</v>
      </c>
      <c r="B71" t="s">
        <v>1423</v>
      </c>
    </row>
    <row r="72" spans="1:2" x14ac:dyDescent="0.3">
      <c r="A72" t="s">
        <v>283</v>
      </c>
      <c r="B72" t="s">
        <v>1424</v>
      </c>
    </row>
    <row r="73" spans="1:2" x14ac:dyDescent="0.3">
      <c r="A73" t="s">
        <v>284</v>
      </c>
      <c r="B73" t="s">
        <v>1406</v>
      </c>
    </row>
    <row r="74" spans="1:2" x14ac:dyDescent="0.3">
      <c r="A74" t="s">
        <v>285</v>
      </c>
      <c r="B74" t="s">
        <v>1425</v>
      </c>
    </row>
    <row r="75" spans="1:2" x14ac:dyDescent="0.3">
      <c r="A75" t="s">
        <v>288</v>
      </c>
      <c r="B75" t="s">
        <v>1426</v>
      </c>
    </row>
    <row r="76" spans="1:2" x14ac:dyDescent="0.3">
      <c r="A76" t="s">
        <v>1176</v>
      </c>
      <c r="B76" t="s">
        <v>1359</v>
      </c>
    </row>
    <row r="77" spans="1:2" x14ac:dyDescent="0.3">
      <c r="A77" t="s">
        <v>1248</v>
      </c>
      <c r="B77" t="s">
        <v>1407</v>
      </c>
    </row>
    <row r="78" spans="1:2" x14ac:dyDescent="0.3">
      <c r="A78" t="s">
        <v>1268</v>
      </c>
      <c r="B78" t="s">
        <v>1389</v>
      </c>
    </row>
    <row r="79" spans="1:2" x14ac:dyDescent="0.3">
      <c r="A79" t="s">
        <v>1272</v>
      </c>
      <c r="B79" t="s">
        <v>1427</v>
      </c>
    </row>
    <row r="80" spans="1:2" x14ac:dyDescent="0.3">
      <c r="A80" t="s">
        <v>1275</v>
      </c>
      <c r="B80" t="s">
        <v>1428</v>
      </c>
    </row>
    <row r="81" spans="1:2" x14ac:dyDescent="0.3">
      <c r="A81" t="s">
        <v>1276</v>
      </c>
      <c r="B81" t="s">
        <v>1429</v>
      </c>
    </row>
    <row r="82" spans="1:2" x14ac:dyDescent="0.3">
      <c r="A82" t="s">
        <v>1279</v>
      </c>
      <c r="B82" t="s">
        <v>1430</v>
      </c>
    </row>
    <row r="83" spans="1:2" x14ac:dyDescent="0.3">
      <c r="A83" t="s">
        <v>1281</v>
      </c>
      <c r="B83" t="s">
        <v>1431</v>
      </c>
    </row>
    <row r="84" spans="1:2" x14ac:dyDescent="0.3">
      <c r="A84" t="s">
        <v>1282</v>
      </c>
      <c r="B84" t="s">
        <v>1432</v>
      </c>
    </row>
    <row r="85" spans="1:2" x14ac:dyDescent="0.3">
      <c r="A85" t="s">
        <v>1284</v>
      </c>
      <c r="B85" t="s">
        <v>1433</v>
      </c>
    </row>
    <row r="86" spans="1:2" x14ac:dyDescent="0.3">
      <c r="A86" t="s">
        <v>1285</v>
      </c>
      <c r="B86" t="s">
        <v>1434</v>
      </c>
    </row>
  </sheetData>
  <conditionalFormatting sqref="A1:A1048576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63AF0-CC22-4E2B-AE7F-7370758A4D2A}">
  <dimension ref="A1:D37"/>
  <sheetViews>
    <sheetView zoomScale="109" zoomScaleNormal="55" workbookViewId="0">
      <selection activeCell="D2" sqref="D2"/>
    </sheetView>
  </sheetViews>
  <sheetFormatPr defaultRowHeight="14" x14ac:dyDescent="0.3"/>
  <cols>
    <col min="1" max="1" width="21.09765625" customWidth="1"/>
    <col min="2" max="2" width="29.69921875" bestFit="1" customWidth="1"/>
    <col min="7" max="7" width="18.69921875" customWidth="1"/>
  </cols>
  <sheetData>
    <row r="1" spans="1:4" x14ac:dyDescent="0.3">
      <c r="A1" t="s">
        <v>1594</v>
      </c>
      <c r="B1" t="s">
        <v>1595</v>
      </c>
      <c r="C1" t="s">
        <v>1596</v>
      </c>
      <c r="D1" t="s">
        <v>1597</v>
      </c>
    </row>
    <row r="2" spans="1:4" x14ac:dyDescent="0.3">
      <c r="A2" t="s">
        <v>1485</v>
      </c>
      <c r="B2" t="s">
        <v>1518</v>
      </c>
      <c r="C2" t="s">
        <v>1554</v>
      </c>
      <c r="D2" t="s">
        <v>1591</v>
      </c>
    </row>
    <row r="3" spans="1:4" x14ac:dyDescent="0.3">
      <c r="A3" t="s">
        <v>1486</v>
      </c>
      <c r="B3" t="s">
        <v>1519</v>
      </c>
      <c r="C3" t="s">
        <v>1555</v>
      </c>
      <c r="D3" t="s">
        <v>1362</v>
      </c>
    </row>
    <row r="4" spans="1:4" x14ac:dyDescent="0.3">
      <c r="A4" t="s">
        <v>1487</v>
      </c>
      <c r="B4" t="s">
        <v>1520</v>
      </c>
      <c r="C4" t="s">
        <v>1556</v>
      </c>
      <c r="D4" t="s">
        <v>1363</v>
      </c>
    </row>
    <row r="5" spans="1:4" x14ac:dyDescent="0.3">
      <c r="A5" t="s">
        <v>1488</v>
      </c>
      <c r="B5" t="s">
        <v>1521</v>
      </c>
      <c r="C5" t="s">
        <v>1557</v>
      </c>
      <c r="D5" t="s">
        <v>1364</v>
      </c>
    </row>
    <row r="6" spans="1:4" x14ac:dyDescent="0.3">
      <c r="A6" t="s">
        <v>1489</v>
      </c>
      <c r="B6" t="s">
        <v>1522</v>
      </c>
      <c r="C6" t="s">
        <v>1558</v>
      </c>
      <c r="D6" t="s">
        <v>1365</v>
      </c>
    </row>
    <row r="7" spans="1:4" x14ac:dyDescent="0.3">
      <c r="A7" t="s">
        <v>1490</v>
      </c>
      <c r="B7" t="s">
        <v>1523</v>
      </c>
      <c r="C7" t="s">
        <v>1559</v>
      </c>
      <c r="D7" t="s">
        <v>1366</v>
      </c>
    </row>
    <row r="8" spans="1:4" x14ac:dyDescent="0.3">
      <c r="A8" t="s">
        <v>1491</v>
      </c>
      <c r="B8" t="s">
        <v>1524</v>
      </c>
      <c r="C8" t="s">
        <v>1560</v>
      </c>
      <c r="D8" t="s">
        <v>1367</v>
      </c>
    </row>
    <row r="9" spans="1:4" x14ac:dyDescent="0.3">
      <c r="A9" t="s">
        <v>1492</v>
      </c>
      <c r="B9" t="s">
        <v>1525</v>
      </c>
      <c r="C9" t="s">
        <v>1561</v>
      </c>
      <c r="D9" t="s">
        <v>1368</v>
      </c>
    </row>
    <row r="10" spans="1:4" x14ac:dyDescent="0.3">
      <c r="A10" t="s">
        <v>1493</v>
      </c>
      <c r="B10" t="s">
        <v>1526</v>
      </c>
      <c r="C10" t="s">
        <v>1562</v>
      </c>
      <c r="D10" t="s">
        <v>1369</v>
      </c>
    </row>
    <row r="11" spans="1:4" x14ac:dyDescent="0.3">
      <c r="A11" t="s">
        <v>1494</v>
      </c>
      <c r="B11" t="s">
        <v>1527</v>
      </c>
      <c r="C11" t="s">
        <v>1563</v>
      </c>
      <c r="D11" t="s">
        <v>1370</v>
      </c>
    </row>
    <row r="12" spans="1:4" x14ac:dyDescent="0.3">
      <c r="A12" t="s">
        <v>1495</v>
      </c>
      <c r="B12" t="s">
        <v>1528</v>
      </c>
      <c r="C12" t="s">
        <v>1564</v>
      </c>
      <c r="D12" t="s">
        <v>1371</v>
      </c>
    </row>
    <row r="13" spans="1:4" x14ac:dyDescent="0.3">
      <c r="A13" t="s">
        <v>1496</v>
      </c>
      <c r="B13" t="s">
        <v>1529</v>
      </c>
      <c r="C13" t="s">
        <v>1565</v>
      </c>
      <c r="D13" t="s">
        <v>1372</v>
      </c>
    </row>
    <row r="14" spans="1:4" x14ac:dyDescent="0.3">
      <c r="A14" t="s">
        <v>1497</v>
      </c>
      <c r="B14" t="s">
        <v>1530</v>
      </c>
      <c r="C14" t="s">
        <v>1566</v>
      </c>
      <c r="D14" t="s">
        <v>1373</v>
      </c>
    </row>
    <row r="15" spans="1:4" x14ac:dyDescent="0.3">
      <c r="A15" t="s">
        <v>1498</v>
      </c>
      <c r="B15" t="s">
        <v>1531</v>
      </c>
      <c r="C15" t="s">
        <v>1567</v>
      </c>
      <c r="D15" t="s">
        <v>1375</v>
      </c>
    </row>
    <row r="16" spans="1:4" x14ac:dyDescent="0.3">
      <c r="A16" t="s">
        <v>1499</v>
      </c>
      <c r="B16" t="s">
        <v>1532</v>
      </c>
      <c r="C16" t="s">
        <v>1568</v>
      </c>
      <c r="D16" t="s">
        <v>1376</v>
      </c>
    </row>
    <row r="17" spans="1:4" x14ac:dyDescent="0.3">
      <c r="A17" t="s">
        <v>1500</v>
      </c>
      <c r="B17" t="s">
        <v>1533</v>
      </c>
      <c r="C17" t="s">
        <v>1569</v>
      </c>
      <c r="D17" t="s">
        <v>1377</v>
      </c>
    </row>
    <row r="18" spans="1:4" x14ac:dyDescent="0.3">
      <c r="A18" t="s">
        <v>1501</v>
      </c>
      <c r="B18" t="s">
        <v>1534</v>
      </c>
      <c r="C18" t="s">
        <v>1570</v>
      </c>
      <c r="D18" t="s">
        <v>1378</v>
      </c>
    </row>
    <row r="19" spans="1:4" x14ac:dyDescent="0.3">
      <c r="A19" t="s">
        <v>1502</v>
      </c>
      <c r="B19" t="s">
        <v>1535</v>
      </c>
      <c r="C19" t="s">
        <v>1571</v>
      </c>
      <c r="D19" t="s">
        <v>1590</v>
      </c>
    </row>
    <row r="20" spans="1:4" x14ac:dyDescent="0.3">
      <c r="A20" t="s">
        <v>1503</v>
      </c>
      <c r="B20" t="s">
        <v>1536</v>
      </c>
      <c r="C20" t="s">
        <v>1572</v>
      </c>
      <c r="D20" t="s">
        <v>1382</v>
      </c>
    </row>
    <row r="21" spans="1:4" x14ac:dyDescent="0.3">
      <c r="A21" t="s">
        <v>1504</v>
      </c>
      <c r="B21" t="s">
        <v>1537</v>
      </c>
      <c r="C21" t="s">
        <v>1573</v>
      </c>
      <c r="D21" t="s">
        <v>1592</v>
      </c>
    </row>
    <row r="22" spans="1:4" x14ac:dyDescent="0.3">
      <c r="A22" t="s">
        <v>1505</v>
      </c>
      <c r="B22" t="s">
        <v>1538</v>
      </c>
      <c r="C22" t="s">
        <v>1574</v>
      </c>
      <c r="D22" t="s">
        <v>1385</v>
      </c>
    </row>
    <row r="23" spans="1:4" x14ac:dyDescent="0.3">
      <c r="A23" t="s">
        <v>1506</v>
      </c>
      <c r="B23" t="s">
        <v>1539</v>
      </c>
      <c r="C23" t="s">
        <v>1575</v>
      </c>
      <c r="D23" t="s">
        <v>1386</v>
      </c>
    </row>
    <row r="24" spans="1:4" x14ac:dyDescent="0.3">
      <c r="A24" t="s">
        <v>1507</v>
      </c>
      <c r="B24" t="s">
        <v>1540</v>
      </c>
      <c r="C24" t="s">
        <v>1576</v>
      </c>
      <c r="D24" t="s">
        <v>1387</v>
      </c>
    </row>
    <row r="25" spans="1:4" x14ac:dyDescent="0.3">
      <c r="A25" t="s">
        <v>1508</v>
      </c>
      <c r="B25" t="s">
        <v>1541</v>
      </c>
      <c r="C25" t="s">
        <v>1577</v>
      </c>
      <c r="D25" t="s">
        <v>1388</v>
      </c>
    </row>
    <row r="26" spans="1:4" x14ac:dyDescent="0.3">
      <c r="A26" t="s">
        <v>1508</v>
      </c>
      <c r="B26" t="s">
        <v>1542</v>
      </c>
      <c r="C26" t="s">
        <v>1578</v>
      </c>
      <c r="D26" t="s">
        <v>1388</v>
      </c>
    </row>
    <row r="27" spans="1:4" x14ac:dyDescent="0.3">
      <c r="A27" t="s">
        <v>1508</v>
      </c>
      <c r="B27" t="s">
        <v>1543</v>
      </c>
      <c r="C27" t="s">
        <v>1579</v>
      </c>
      <c r="D27" t="s">
        <v>1388</v>
      </c>
    </row>
    <row r="28" spans="1:4" x14ac:dyDescent="0.3">
      <c r="A28" t="s">
        <v>1509</v>
      </c>
      <c r="B28" t="s">
        <v>1544</v>
      </c>
      <c r="C28" t="s">
        <v>1580</v>
      </c>
      <c r="D28" t="s">
        <v>1593</v>
      </c>
    </row>
    <row r="29" spans="1:4" x14ac:dyDescent="0.3">
      <c r="A29" t="s">
        <v>1509</v>
      </c>
      <c r="B29" t="s">
        <v>1545</v>
      </c>
      <c r="C29" t="s">
        <v>1581</v>
      </c>
      <c r="D29" t="s">
        <v>1593</v>
      </c>
    </row>
    <row r="30" spans="1:4" x14ac:dyDescent="0.3">
      <c r="A30" t="s">
        <v>1510</v>
      </c>
      <c r="B30" t="s">
        <v>1546</v>
      </c>
      <c r="C30" t="s">
        <v>1582</v>
      </c>
      <c r="D30" t="s">
        <v>1593</v>
      </c>
    </row>
    <row r="31" spans="1:4" x14ac:dyDescent="0.3">
      <c r="A31" t="s">
        <v>1511</v>
      </c>
      <c r="B31" t="s">
        <v>1547</v>
      </c>
      <c r="C31" t="s">
        <v>1583</v>
      </c>
      <c r="D31" t="s">
        <v>1593</v>
      </c>
    </row>
    <row r="32" spans="1:4" x14ac:dyDescent="0.3">
      <c r="A32" t="s">
        <v>1512</v>
      </c>
      <c r="B32" t="s">
        <v>1548</v>
      </c>
      <c r="C32" t="s">
        <v>1584</v>
      </c>
      <c r="D32" t="s">
        <v>1593</v>
      </c>
    </row>
    <row r="33" spans="1:4" x14ac:dyDescent="0.3">
      <c r="A33" t="s">
        <v>1513</v>
      </c>
      <c r="B33" t="s">
        <v>1549</v>
      </c>
      <c r="C33" t="s">
        <v>1585</v>
      </c>
      <c r="D33" t="s">
        <v>1593</v>
      </c>
    </row>
    <row r="34" spans="1:4" x14ac:dyDescent="0.3">
      <c r="A34" t="s">
        <v>1514</v>
      </c>
      <c r="B34" t="s">
        <v>1550</v>
      </c>
      <c r="C34" t="s">
        <v>1586</v>
      </c>
      <c r="D34" t="s">
        <v>1593</v>
      </c>
    </row>
    <row r="35" spans="1:4" x14ac:dyDescent="0.3">
      <c r="A35" t="s">
        <v>1515</v>
      </c>
      <c r="B35" t="s">
        <v>1551</v>
      </c>
      <c r="C35" t="s">
        <v>1587</v>
      </c>
      <c r="D35" t="s">
        <v>1593</v>
      </c>
    </row>
    <row r="36" spans="1:4" x14ac:dyDescent="0.3">
      <c r="A36" t="s">
        <v>1516</v>
      </c>
      <c r="B36" t="s">
        <v>1552</v>
      </c>
      <c r="C36" t="s">
        <v>1588</v>
      </c>
      <c r="D36" t="s">
        <v>1593</v>
      </c>
    </row>
    <row r="37" spans="1:4" x14ac:dyDescent="0.3">
      <c r="A37" t="s">
        <v>1517</v>
      </c>
      <c r="B37" t="s">
        <v>1553</v>
      </c>
      <c r="C37" t="s">
        <v>1589</v>
      </c>
      <c r="D37" t="s">
        <v>1593</v>
      </c>
    </row>
  </sheetData>
  <conditionalFormatting sqref="G2:G61">
    <cfRule type="duplicateValues" dxfId="1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31719-23EF-442C-83CE-ABC26E72FADB}">
  <dimension ref="A1:E24"/>
  <sheetViews>
    <sheetView zoomScale="114" workbookViewId="0">
      <selection activeCell="E1" sqref="E1:E1048576"/>
    </sheetView>
  </sheetViews>
  <sheetFormatPr defaultRowHeight="14" x14ac:dyDescent="0.3"/>
  <cols>
    <col min="1" max="1" width="10.69921875" bestFit="1" customWidth="1"/>
    <col min="2" max="3" width="29.3984375" bestFit="1" customWidth="1"/>
    <col min="4" max="4" width="64.09765625" bestFit="1" customWidth="1"/>
  </cols>
  <sheetData>
    <row r="1" spans="1:5" x14ac:dyDescent="0.3">
      <c r="A1" t="s">
        <v>148</v>
      </c>
      <c r="B1" t="s">
        <v>1481</v>
      </c>
      <c r="C1" t="s">
        <v>1482</v>
      </c>
      <c r="D1" t="s">
        <v>1483</v>
      </c>
      <c r="E1" t="s">
        <v>1672</v>
      </c>
    </row>
    <row r="2" spans="1:5" x14ac:dyDescent="0.3">
      <c r="A2" t="s">
        <v>185</v>
      </c>
      <c r="B2" t="s">
        <v>1458</v>
      </c>
      <c r="C2" t="s">
        <v>1436</v>
      </c>
      <c r="D2" t="s">
        <v>1359</v>
      </c>
      <c r="E2" t="s">
        <v>1676</v>
      </c>
    </row>
    <row r="3" spans="1:5" x14ac:dyDescent="0.3">
      <c r="A3" t="s">
        <v>186</v>
      </c>
      <c r="B3" t="s">
        <v>1459</v>
      </c>
      <c r="C3" t="s">
        <v>1437</v>
      </c>
      <c r="D3" t="s">
        <v>1362</v>
      </c>
      <c r="E3" t="s">
        <v>1683</v>
      </c>
    </row>
    <row r="4" spans="1:5" x14ac:dyDescent="0.3">
      <c r="A4" t="s">
        <v>187</v>
      </c>
      <c r="B4" t="s">
        <v>1460</v>
      </c>
      <c r="C4" t="s">
        <v>1438</v>
      </c>
      <c r="D4" t="s">
        <v>1363</v>
      </c>
      <c r="E4" t="s">
        <v>1686</v>
      </c>
    </row>
    <row r="5" spans="1:5" x14ac:dyDescent="0.3">
      <c r="A5" t="s">
        <v>188</v>
      </c>
      <c r="B5" t="s">
        <v>1461</v>
      </c>
      <c r="C5" t="s">
        <v>1439</v>
      </c>
      <c r="D5" t="s">
        <v>1364</v>
      </c>
      <c r="E5" t="s">
        <v>1687</v>
      </c>
    </row>
    <row r="6" spans="1:5" x14ac:dyDescent="0.3">
      <c r="A6" t="s">
        <v>189</v>
      </c>
      <c r="B6" t="s">
        <v>1462</v>
      </c>
      <c r="C6" t="s">
        <v>1440</v>
      </c>
      <c r="D6" t="s">
        <v>1365</v>
      </c>
      <c r="E6" t="s">
        <v>1688</v>
      </c>
    </row>
    <row r="7" spans="1:5" x14ac:dyDescent="0.3">
      <c r="A7" t="s">
        <v>190</v>
      </c>
      <c r="B7" t="s">
        <v>1463</v>
      </c>
      <c r="C7" t="s">
        <v>1441</v>
      </c>
      <c r="D7" t="s">
        <v>1366</v>
      </c>
      <c r="E7" t="s">
        <v>1689</v>
      </c>
    </row>
    <row r="8" spans="1:5" x14ac:dyDescent="0.3">
      <c r="A8" t="s">
        <v>191</v>
      </c>
      <c r="B8" t="s">
        <v>1464</v>
      </c>
      <c r="C8" t="s">
        <v>1442</v>
      </c>
      <c r="D8" t="s">
        <v>1367</v>
      </c>
      <c r="E8" t="s">
        <v>1690</v>
      </c>
    </row>
    <row r="9" spans="1:5" x14ac:dyDescent="0.3">
      <c r="A9" t="s">
        <v>192</v>
      </c>
      <c r="B9" t="s">
        <v>1465</v>
      </c>
      <c r="C9" t="s">
        <v>1443</v>
      </c>
      <c r="D9" t="s">
        <v>1368</v>
      </c>
      <c r="E9" t="s">
        <v>1679</v>
      </c>
    </row>
    <row r="10" spans="1:5" x14ac:dyDescent="0.3">
      <c r="A10" t="s">
        <v>193</v>
      </c>
      <c r="B10" t="s">
        <v>1466</v>
      </c>
      <c r="C10" t="s">
        <v>1444</v>
      </c>
      <c r="D10" t="s">
        <v>1369</v>
      </c>
      <c r="E10" t="s">
        <v>1680</v>
      </c>
    </row>
    <row r="11" spans="1:5" x14ac:dyDescent="0.3">
      <c r="A11" t="s">
        <v>194</v>
      </c>
      <c r="B11" t="s">
        <v>1467</v>
      </c>
      <c r="C11" t="s">
        <v>1445</v>
      </c>
      <c r="D11" t="s">
        <v>1370</v>
      </c>
      <c r="E11" t="s">
        <v>1681</v>
      </c>
    </row>
    <row r="12" spans="1:5" x14ac:dyDescent="0.3">
      <c r="A12" t="s">
        <v>195</v>
      </c>
      <c r="B12" t="s">
        <v>1468</v>
      </c>
      <c r="C12" t="s">
        <v>1446</v>
      </c>
      <c r="D12" t="s">
        <v>1371</v>
      </c>
      <c r="E12" t="s">
        <v>1682</v>
      </c>
    </row>
    <row r="13" spans="1:5" x14ac:dyDescent="0.3">
      <c r="A13" t="s">
        <v>196</v>
      </c>
      <c r="B13" t="s">
        <v>1469</v>
      </c>
      <c r="C13" t="s">
        <v>1447</v>
      </c>
      <c r="D13" t="s">
        <v>1372</v>
      </c>
      <c r="E13" t="s">
        <v>1678</v>
      </c>
    </row>
    <row r="14" spans="1:5" x14ac:dyDescent="0.3">
      <c r="A14" t="s">
        <v>197</v>
      </c>
      <c r="B14" t="s">
        <v>1470</v>
      </c>
      <c r="C14" t="s">
        <v>1448</v>
      </c>
      <c r="D14" t="s">
        <v>1373</v>
      </c>
      <c r="E14" t="s">
        <v>1691</v>
      </c>
    </row>
    <row r="15" spans="1:5" x14ac:dyDescent="0.3">
      <c r="A15" t="s">
        <v>198</v>
      </c>
      <c r="B15" t="s">
        <v>1471</v>
      </c>
      <c r="C15" t="s">
        <v>1449</v>
      </c>
      <c r="D15" t="s">
        <v>1375</v>
      </c>
      <c r="E15" t="s">
        <v>1675</v>
      </c>
    </row>
    <row r="16" spans="1:5" x14ac:dyDescent="0.3">
      <c r="A16" t="s">
        <v>199</v>
      </c>
      <c r="B16" t="s">
        <v>1472</v>
      </c>
      <c r="C16" t="s">
        <v>1450</v>
      </c>
      <c r="D16" t="s">
        <v>1376</v>
      </c>
      <c r="E16" t="s">
        <v>1685</v>
      </c>
    </row>
    <row r="17" spans="1:5" x14ac:dyDescent="0.3">
      <c r="A17" t="s">
        <v>200</v>
      </c>
      <c r="B17" t="s">
        <v>811</v>
      </c>
      <c r="C17" t="s">
        <v>810</v>
      </c>
      <c r="D17" s="1" t="s">
        <v>1480</v>
      </c>
      <c r="E17" t="s">
        <v>1695</v>
      </c>
    </row>
    <row r="18" spans="1:5" x14ac:dyDescent="0.3">
      <c r="A18" t="s">
        <v>201</v>
      </c>
      <c r="B18" t="s">
        <v>1473</v>
      </c>
      <c r="C18" t="s">
        <v>1451</v>
      </c>
      <c r="D18" t="s">
        <v>1378</v>
      </c>
      <c r="E18" t="s">
        <v>1673</v>
      </c>
    </row>
    <row r="19" spans="1:5" x14ac:dyDescent="0.3">
      <c r="A19" t="s">
        <v>202</v>
      </c>
      <c r="B19" t="s">
        <v>1474</v>
      </c>
      <c r="C19" t="s">
        <v>1452</v>
      </c>
      <c r="D19" t="s">
        <v>1381</v>
      </c>
      <c r="E19" t="s">
        <v>1674</v>
      </c>
    </row>
    <row r="20" spans="1:5" x14ac:dyDescent="0.3">
      <c r="A20" t="s">
        <v>203</v>
      </c>
      <c r="B20" t="s">
        <v>1475</v>
      </c>
      <c r="C20" t="s">
        <v>1453</v>
      </c>
      <c r="D20" t="s">
        <v>1382</v>
      </c>
      <c r="E20" t="s">
        <v>1692</v>
      </c>
    </row>
    <row r="21" spans="1:5" x14ac:dyDescent="0.3">
      <c r="A21" t="s">
        <v>204</v>
      </c>
      <c r="B21" t="s">
        <v>1476</v>
      </c>
      <c r="C21" t="s">
        <v>1454</v>
      </c>
      <c r="D21" t="s">
        <v>1383</v>
      </c>
      <c r="E21" t="s">
        <v>1684</v>
      </c>
    </row>
    <row r="22" spans="1:5" x14ac:dyDescent="0.3">
      <c r="A22" t="s">
        <v>205</v>
      </c>
      <c r="B22" t="s">
        <v>1477</v>
      </c>
      <c r="C22" t="s">
        <v>1455</v>
      </c>
      <c r="D22" t="s">
        <v>1385</v>
      </c>
      <c r="E22" t="s">
        <v>1694</v>
      </c>
    </row>
    <row r="23" spans="1:5" x14ac:dyDescent="0.3">
      <c r="A23" t="s">
        <v>206</v>
      </c>
      <c r="B23" t="s">
        <v>1478</v>
      </c>
      <c r="C23" t="s">
        <v>1456</v>
      </c>
      <c r="D23" t="s">
        <v>1386</v>
      </c>
      <c r="E23" t="s">
        <v>1677</v>
      </c>
    </row>
    <row r="24" spans="1:5" x14ac:dyDescent="0.3">
      <c r="A24" t="s">
        <v>207</v>
      </c>
      <c r="B24" t="s">
        <v>1479</v>
      </c>
      <c r="C24" t="s">
        <v>1457</v>
      </c>
      <c r="D24" t="s">
        <v>1387</v>
      </c>
      <c r="E24" t="s">
        <v>1693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E54F4-7E09-4678-8F32-09B46DF4C0E0}">
  <dimension ref="A1:H24"/>
  <sheetViews>
    <sheetView zoomScale="102" workbookViewId="0">
      <selection activeCell="B5" sqref="B5"/>
    </sheetView>
  </sheetViews>
  <sheetFormatPr defaultRowHeight="14" x14ac:dyDescent="0.3"/>
  <cols>
    <col min="1" max="1" width="11.296875" bestFit="1" customWidth="1"/>
    <col min="2" max="2" width="20.3984375" bestFit="1" customWidth="1"/>
    <col min="4" max="4" width="65" bestFit="1" customWidth="1"/>
  </cols>
  <sheetData>
    <row r="1" spans="1:8" ht="14.55" thickBot="1" x14ac:dyDescent="0.35">
      <c r="A1" t="s">
        <v>148</v>
      </c>
      <c r="B1" t="s">
        <v>1670</v>
      </c>
      <c r="C1" t="s">
        <v>1672</v>
      </c>
      <c r="D1" t="s">
        <v>1671</v>
      </c>
    </row>
    <row r="2" spans="1:8" ht="14.55" thickBot="1" x14ac:dyDescent="0.35">
      <c r="A2" t="s">
        <v>197</v>
      </c>
      <c r="B2">
        <v>0.47099999999999997</v>
      </c>
      <c r="C2" t="s">
        <v>1691</v>
      </c>
      <c r="D2" t="s">
        <v>1373</v>
      </c>
      <c r="H2" s="5"/>
    </row>
    <row r="3" spans="1:8" x14ac:dyDescent="0.3">
      <c r="A3" t="s">
        <v>190</v>
      </c>
      <c r="B3">
        <v>0.54800000000000004</v>
      </c>
      <c r="C3" t="s">
        <v>1689</v>
      </c>
      <c r="D3" t="s">
        <v>1366</v>
      </c>
    </row>
    <row r="4" spans="1:8" x14ac:dyDescent="0.3">
      <c r="A4" t="s">
        <v>186</v>
      </c>
      <c r="B4">
        <v>0.66100000000000003</v>
      </c>
      <c r="C4" t="s">
        <v>1683</v>
      </c>
      <c r="D4" t="s">
        <v>1362</v>
      </c>
    </row>
    <row r="5" spans="1:8" x14ac:dyDescent="0.3">
      <c r="A5" t="s">
        <v>189</v>
      </c>
      <c r="B5">
        <v>0.73399999999999999</v>
      </c>
      <c r="C5" t="s">
        <v>1688</v>
      </c>
      <c r="D5" t="s">
        <v>1365</v>
      </c>
    </row>
    <row r="6" spans="1:8" x14ac:dyDescent="0.3">
      <c r="A6" t="s">
        <v>193</v>
      </c>
      <c r="B6">
        <v>0.75</v>
      </c>
      <c r="C6" t="s">
        <v>1680</v>
      </c>
      <c r="D6" t="s">
        <v>1369</v>
      </c>
    </row>
    <row r="7" spans="1:8" x14ac:dyDescent="0.3">
      <c r="A7" t="s">
        <v>192</v>
      </c>
      <c r="B7">
        <v>0.751</v>
      </c>
      <c r="C7" t="s">
        <v>1679</v>
      </c>
      <c r="D7" t="s">
        <v>1368</v>
      </c>
    </row>
    <row r="8" spans="1:8" x14ac:dyDescent="0.3">
      <c r="A8" t="s">
        <v>198</v>
      </c>
      <c r="B8">
        <v>0.76500000000000001</v>
      </c>
      <c r="C8" t="s">
        <v>1675</v>
      </c>
      <c r="D8" t="s">
        <v>1375</v>
      </c>
    </row>
    <row r="9" spans="1:8" x14ac:dyDescent="0.3">
      <c r="A9" t="s">
        <v>194</v>
      </c>
      <c r="B9">
        <v>0.78300000000000003</v>
      </c>
      <c r="C9" t="s">
        <v>1681</v>
      </c>
      <c r="D9" t="s">
        <v>1370</v>
      </c>
    </row>
    <row r="10" spans="1:8" x14ac:dyDescent="0.3">
      <c r="A10" t="s">
        <v>196</v>
      </c>
      <c r="B10">
        <v>0.78900000000000003</v>
      </c>
      <c r="C10" t="s">
        <v>1678</v>
      </c>
      <c r="D10" t="s">
        <v>1372</v>
      </c>
    </row>
    <row r="11" spans="1:8" x14ac:dyDescent="0.3">
      <c r="A11" t="s">
        <v>191</v>
      </c>
      <c r="B11">
        <v>0.79400000000000004</v>
      </c>
      <c r="C11" t="s">
        <v>1690</v>
      </c>
      <c r="D11" t="s">
        <v>1367</v>
      </c>
    </row>
    <row r="12" spans="1:8" x14ac:dyDescent="0.3">
      <c r="A12" t="s">
        <v>204</v>
      </c>
      <c r="B12">
        <v>0.81799999999999995</v>
      </c>
      <c r="C12" t="s">
        <v>1684</v>
      </c>
      <c r="D12" t="s">
        <v>1383</v>
      </c>
    </row>
    <row r="13" spans="1:8" x14ac:dyDescent="0.3">
      <c r="A13" t="s">
        <v>200</v>
      </c>
      <c r="B13">
        <v>0.871</v>
      </c>
      <c r="C13" t="s">
        <v>1695</v>
      </c>
      <c r="D13" s="1" t="s">
        <v>1480</v>
      </c>
    </row>
    <row r="14" spans="1:8" x14ac:dyDescent="0.3">
      <c r="A14" t="s">
        <v>195</v>
      </c>
      <c r="B14">
        <v>1.0309999999999999</v>
      </c>
      <c r="C14" t="s">
        <v>1682</v>
      </c>
      <c r="D14" t="s">
        <v>1371</v>
      </c>
    </row>
    <row r="15" spans="1:8" x14ac:dyDescent="0.3">
      <c r="A15" t="s">
        <v>203</v>
      </c>
      <c r="B15">
        <v>1.0449999999999999</v>
      </c>
      <c r="C15" t="s">
        <v>1692</v>
      </c>
      <c r="D15" t="s">
        <v>1382</v>
      </c>
    </row>
    <row r="16" spans="1:8" x14ac:dyDescent="0.3">
      <c r="A16" t="s">
        <v>187</v>
      </c>
      <c r="B16">
        <v>1.095</v>
      </c>
      <c r="C16" t="s">
        <v>1686</v>
      </c>
      <c r="D16" t="s">
        <v>1363</v>
      </c>
    </row>
    <row r="17" spans="1:4" x14ac:dyDescent="0.3">
      <c r="A17" t="s">
        <v>185</v>
      </c>
      <c r="B17">
        <v>1.1870000000000001</v>
      </c>
      <c r="C17" t="s">
        <v>1676</v>
      </c>
      <c r="D17" t="s">
        <v>1359</v>
      </c>
    </row>
    <row r="18" spans="1:4" x14ac:dyDescent="0.3">
      <c r="A18" t="s">
        <v>199</v>
      </c>
      <c r="B18">
        <v>1.359</v>
      </c>
      <c r="C18" t="s">
        <v>1685</v>
      </c>
      <c r="D18" t="s">
        <v>1376</v>
      </c>
    </row>
    <row r="19" spans="1:4" x14ac:dyDescent="0.3">
      <c r="A19" t="s">
        <v>205</v>
      </c>
      <c r="B19">
        <v>1.3839999999999999</v>
      </c>
      <c r="C19" t="s">
        <v>1694</v>
      </c>
      <c r="D19" t="s">
        <v>1385</v>
      </c>
    </row>
    <row r="20" spans="1:4" x14ac:dyDescent="0.3">
      <c r="A20" t="s">
        <v>207</v>
      </c>
      <c r="B20">
        <v>1.4379999999999999</v>
      </c>
      <c r="C20" t="s">
        <v>1693</v>
      </c>
      <c r="D20" t="s">
        <v>1387</v>
      </c>
    </row>
    <row r="21" spans="1:4" x14ac:dyDescent="0.3">
      <c r="A21" t="s">
        <v>206</v>
      </c>
      <c r="B21">
        <v>1.454</v>
      </c>
      <c r="C21" t="s">
        <v>1677</v>
      </c>
      <c r="D21" t="s">
        <v>1386</v>
      </c>
    </row>
    <row r="22" spans="1:4" x14ac:dyDescent="0.3">
      <c r="A22" t="s">
        <v>201</v>
      </c>
      <c r="B22">
        <v>1.47</v>
      </c>
      <c r="C22" t="s">
        <v>1673</v>
      </c>
      <c r="D22" t="s">
        <v>1378</v>
      </c>
    </row>
    <row r="23" spans="1:4" x14ac:dyDescent="0.3">
      <c r="A23" t="s">
        <v>202</v>
      </c>
      <c r="B23">
        <v>1.488</v>
      </c>
      <c r="C23" t="s">
        <v>1674</v>
      </c>
      <c r="D23" t="s">
        <v>1381</v>
      </c>
    </row>
    <row r="24" spans="1:4" x14ac:dyDescent="0.3">
      <c r="A24" t="s">
        <v>188</v>
      </c>
      <c r="B24">
        <v>1.8979999999999999</v>
      </c>
      <c r="C24" t="s">
        <v>1687</v>
      </c>
      <c r="D24" t="s">
        <v>1364</v>
      </c>
    </row>
  </sheetData>
  <autoFilter ref="A1:D24" xr:uid="{FAAE54F4-7E09-4678-8F32-09B46DF4C0E0}">
    <sortState xmlns:xlrd2="http://schemas.microsoft.com/office/spreadsheetml/2017/richdata2" ref="A2:D24">
      <sortCondition ref="B1:B24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85F96-DD60-441F-A355-3569243C56D6}">
  <dimension ref="A1:AM106"/>
  <sheetViews>
    <sheetView zoomScale="66" workbookViewId="0">
      <selection activeCell="A25" sqref="A25"/>
    </sheetView>
  </sheetViews>
  <sheetFormatPr defaultRowHeight="14" x14ac:dyDescent="0.3"/>
  <cols>
    <col min="1" max="1" width="23.796875" customWidth="1"/>
  </cols>
  <sheetData>
    <row r="1" spans="1:39" x14ac:dyDescent="0.3">
      <c r="A1" t="s">
        <v>148</v>
      </c>
      <c r="B1">
        <v>8054</v>
      </c>
      <c r="C1">
        <v>8158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170</v>
      </c>
      <c r="Z1" t="s">
        <v>171</v>
      </c>
      <c r="AA1" t="s">
        <v>172</v>
      </c>
      <c r="AB1" t="s">
        <v>173</v>
      </c>
      <c r="AC1" t="s">
        <v>174</v>
      </c>
      <c r="AD1" t="s">
        <v>175</v>
      </c>
      <c r="AE1" t="s">
        <v>176</v>
      </c>
      <c r="AF1" t="s">
        <v>177</v>
      </c>
      <c r="AG1" t="s">
        <v>178</v>
      </c>
      <c r="AH1" t="s">
        <v>179</v>
      </c>
      <c r="AI1" t="s">
        <v>180</v>
      </c>
      <c r="AJ1" t="s">
        <v>181</v>
      </c>
      <c r="AK1" t="s">
        <v>182</v>
      </c>
      <c r="AL1" t="s">
        <v>183</v>
      </c>
      <c r="AM1" t="s">
        <v>184</v>
      </c>
    </row>
    <row r="2" spans="1:39" x14ac:dyDescent="0.3">
      <c r="A2" t="s">
        <v>185</v>
      </c>
      <c r="B2">
        <v>1</v>
      </c>
      <c r="C2">
        <v>1</v>
      </c>
      <c r="D2">
        <v>1</v>
      </c>
      <c r="E2">
        <v>0</v>
      </c>
      <c r="F2">
        <v>1</v>
      </c>
      <c r="G2">
        <v>2</v>
      </c>
      <c r="H2">
        <v>0</v>
      </c>
      <c r="I2">
        <v>4</v>
      </c>
      <c r="J2">
        <v>3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0</v>
      </c>
      <c r="T2">
        <v>1</v>
      </c>
      <c r="U2">
        <v>1</v>
      </c>
      <c r="V2">
        <v>1</v>
      </c>
      <c r="W2">
        <v>0</v>
      </c>
      <c r="X2">
        <v>1</v>
      </c>
      <c r="Y2">
        <v>1</v>
      </c>
      <c r="Z2">
        <v>1</v>
      </c>
      <c r="AA2">
        <v>2</v>
      </c>
      <c r="AB2">
        <v>1</v>
      </c>
      <c r="AC2">
        <v>1</v>
      </c>
      <c r="AD2">
        <v>0</v>
      </c>
      <c r="AE2">
        <v>2</v>
      </c>
      <c r="AF2">
        <v>0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39</v>
      </c>
    </row>
    <row r="3" spans="1:39" x14ac:dyDescent="0.3">
      <c r="A3" t="s">
        <v>186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37</v>
      </c>
    </row>
    <row r="4" spans="1:39" x14ac:dyDescent="0.3">
      <c r="A4" t="s">
        <v>187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37</v>
      </c>
    </row>
    <row r="5" spans="1:39" x14ac:dyDescent="0.3">
      <c r="A5" t="s">
        <v>188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37</v>
      </c>
    </row>
    <row r="6" spans="1:39" x14ac:dyDescent="0.3">
      <c r="A6" t="s">
        <v>189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37</v>
      </c>
    </row>
    <row r="7" spans="1:39" x14ac:dyDescent="0.3">
      <c r="A7" t="s">
        <v>190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37</v>
      </c>
    </row>
    <row r="8" spans="1:39" x14ac:dyDescent="0.3">
      <c r="A8" t="s">
        <v>191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37</v>
      </c>
    </row>
    <row r="9" spans="1:39" x14ac:dyDescent="0.3">
      <c r="A9" t="s">
        <v>192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0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36</v>
      </c>
    </row>
    <row r="10" spans="1:39" x14ac:dyDescent="0.3">
      <c r="A10" t="s">
        <v>193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0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36</v>
      </c>
    </row>
    <row r="11" spans="1:39" x14ac:dyDescent="0.3">
      <c r="A11" t="s">
        <v>194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0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36</v>
      </c>
    </row>
    <row r="12" spans="1:39" x14ac:dyDescent="0.3">
      <c r="A12" t="s">
        <v>195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36</v>
      </c>
    </row>
    <row r="13" spans="1:39" x14ac:dyDescent="0.3">
      <c r="A13" t="s">
        <v>196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0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0</v>
      </c>
      <c r="AM13">
        <v>35</v>
      </c>
    </row>
    <row r="14" spans="1:39" x14ac:dyDescent="0.3">
      <c r="A14" t="s">
        <v>197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0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35</v>
      </c>
    </row>
    <row r="15" spans="1:39" x14ac:dyDescent="0.3">
      <c r="A15" t="s">
        <v>198</v>
      </c>
      <c r="B15">
        <v>1</v>
      </c>
      <c r="C15">
        <v>1</v>
      </c>
      <c r="D15">
        <v>1</v>
      </c>
      <c r="E15">
        <v>0</v>
      </c>
      <c r="F15">
        <v>1</v>
      </c>
      <c r="G15">
        <v>1</v>
      </c>
      <c r="H15">
        <v>2</v>
      </c>
      <c r="I15">
        <v>2</v>
      </c>
      <c r="J15">
        <v>2</v>
      </c>
      <c r="K15">
        <v>3</v>
      </c>
      <c r="L15">
        <v>1</v>
      </c>
      <c r="M15">
        <v>1</v>
      </c>
      <c r="N15">
        <v>1</v>
      </c>
      <c r="O15">
        <v>1</v>
      </c>
      <c r="P15">
        <v>1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1</v>
      </c>
      <c r="AC15">
        <v>1</v>
      </c>
      <c r="AD15">
        <v>2</v>
      </c>
      <c r="AE15">
        <v>1</v>
      </c>
      <c r="AF15">
        <v>0</v>
      </c>
      <c r="AG15">
        <v>1</v>
      </c>
      <c r="AH15">
        <v>0</v>
      </c>
      <c r="AI15">
        <v>1</v>
      </c>
      <c r="AJ15">
        <v>1</v>
      </c>
      <c r="AK15">
        <v>0</v>
      </c>
      <c r="AL15">
        <v>0</v>
      </c>
      <c r="AM15">
        <v>30</v>
      </c>
    </row>
    <row r="16" spans="1:39" x14ac:dyDescent="0.3">
      <c r="A16" t="s">
        <v>199</v>
      </c>
      <c r="B16">
        <v>1</v>
      </c>
      <c r="C16">
        <v>1</v>
      </c>
      <c r="D16">
        <v>1</v>
      </c>
      <c r="E16">
        <v>0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0</v>
      </c>
      <c r="AG16">
        <v>1</v>
      </c>
      <c r="AH16">
        <v>1</v>
      </c>
      <c r="AI16">
        <v>1</v>
      </c>
      <c r="AJ16">
        <v>1</v>
      </c>
      <c r="AK16">
        <v>0</v>
      </c>
      <c r="AL16">
        <v>0</v>
      </c>
      <c r="AM16">
        <v>29</v>
      </c>
    </row>
    <row r="17" spans="1:39" x14ac:dyDescent="0.3">
      <c r="A17" t="s">
        <v>200</v>
      </c>
      <c r="B17">
        <v>1</v>
      </c>
      <c r="C17">
        <v>1</v>
      </c>
      <c r="D17">
        <v>1</v>
      </c>
      <c r="E17">
        <v>0</v>
      </c>
      <c r="F17">
        <v>0</v>
      </c>
      <c r="G17">
        <v>0</v>
      </c>
      <c r="H17">
        <v>1</v>
      </c>
      <c r="I17">
        <v>0</v>
      </c>
      <c r="J17">
        <v>1</v>
      </c>
      <c r="K17">
        <v>0</v>
      </c>
      <c r="L17">
        <v>0</v>
      </c>
      <c r="M17">
        <v>0</v>
      </c>
      <c r="N17">
        <v>1</v>
      </c>
      <c r="O17">
        <v>4</v>
      </c>
      <c r="P17">
        <v>0</v>
      </c>
      <c r="Q17">
        <v>0</v>
      </c>
      <c r="R17">
        <v>0</v>
      </c>
      <c r="S17">
        <v>0</v>
      </c>
      <c r="T17">
        <v>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2</v>
      </c>
      <c r="AC17">
        <v>4</v>
      </c>
      <c r="AD17">
        <v>1</v>
      </c>
      <c r="AE17">
        <v>0</v>
      </c>
      <c r="AF17">
        <v>0</v>
      </c>
      <c r="AG17">
        <v>1</v>
      </c>
      <c r="AH17">
        <v>0</v>
      </c>
      <c r="AI17">
        <v>1</v>
      </c>
      <c r="AJ17">
        <v>1</v>
      </c>
      <c r="AK17">
        <v>0</v>
      </c>
      <c r="AL17">
        <v>0</v>
      </c>
      <c r="AM17">
        <v>23</v>
      </c>
    </row>
    <row r="18" spans="1:39" x14ac:dyDescent="0.3">
      <c r="A18" t="s">
        <v>201</v>
      </c>
      <c r="B18">
        <v>1</v>
      </c>
      <c r="C18">
        <v>1</v>
      </c>
      <c r="D18">
        <v>1</v>
      </c>
      <c r="E18">
        <v>0</v>
      </c>
      <c r="F18">
        <v>2</v>
      </c>
      <c r="G18">
        <v>1</v>
      </c>
      <c r="H18">
        <v>1</v>
      </c>
      <c r="I18">
        <v>1</v>
      </c>
      <c r="J18">
        <v>1</v>
      </c>
      <c r="K18">
        <v>0</v>
      </c>
      <c r="L18">
        <v>1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>
        <v>2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0</v>
      </c>
      <c r="AG18">
        <v>1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23</v>
      </c>
    </row>
    <row r="19" spans="1:39" x14ac:dyDescent="0.3">
      <c r="A19" t="s">
        <v>202</v>
      </c>
      <c r="B19">
        <v>1</v>
      </c>
      <c r="C19">
        <v>1</v>
      </c>
      <c r="D19">
        <v>1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0</v>
      </c>
      <c r="L19">
        <v>1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0</v>
      </c>
      <c r="W19">
        <v>0</v>
      </c>
      <c r="X19">
        <v>0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0</v>
      </c>
      <c r="AG19">
        <v>1</v>
      </c>
      <c r="AH19">
        <v>0</v>
      </c>
      <c r="AI19">
        <v>1</v>
      </c>
      <c r="AJ19">
        <v>1</v>
      </c>
      <c r="AK19">
        <v>0</v>
      </c>
      <c r="AL19">
        <v>0</v>
      </c>
      <c r="AM19">
        <v>23</v>
      </c>
    </row>
    <row r="20" spans="1:39" x14ac:dyDescent="0.3">
      <c r="A20" t="s">
        <v>203</v>
      </c>
      <c r="B20">
        <v>1</v>
      </c>
      <c r="C20">
        <v>1</v>
      </c>
      <c r="D20">
        <v>1</v>
      </c>
      <c r="E20">
        <v>0</v>
      </c>
      <c r="F20">
        <v>1</v>
      </c>
      <c r="G20">
        <v>0</v>
      </c>
      <c r="H20">
        <v>0</v>
      </c>
      <c r="I20">
        <v>1</v>
      </c>
      <c r="J20">
        <v>0</v>
      </c>
      <c r="K20">
        <v>1</v>
      </c>
      <c r="L20">
        <v>1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2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2</v>
      </c>
      <c r="AC20">
        <v>1</v>
      </c>
      <c r="AD20">
        <v>1</v>
      </c>
      <c r="AE20">
        <v>0</v>
      </c>
      <c r="AF20">
        <v>0</v>
      </c>
      <c r="AG20">
        <v>1</v>
      </c>
      <c r="AH20">
        <v>0</v>
      </c>
      <c r="AI20">
        <v>1</v>
      </c>
      <c r="AJ20">
        <v>1</v>
      </c>
      <c r="AK20">
        <v>0</v>
      </c>
      <c r="AL20">
        <v>0</v>
      </c>
      <c r="AM20">
        <v>20</v>
      </c>
    </row>
    <row r="21" spans="1:39" x14ac:dyDescent="0.3">
      <c r="A21" t="s">
        <v>204</v>
      </c>
      <c r="B21">
        <v>1</v>
      </c>
      <c r="C21">
        <v>1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  <c r="V21">
        <v>1</v>
      </c>
      <c r="W21">
        <v>1</v>
      </c>
      <c r="X21">
        <v>0</v>
      </c>
      <c r="Y21">
        <v>1</v>
      </c>
      <c r="Z21">
        <v>1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1</v>
      </c>
      <c r="AG21">
        <v>0</v>
      </c>
      <c r="AH21">
        <v>1</v>
      </c>
      <c r="AI21">
        <v>1</v>
      </c>
      <c r="AJ21">
        <v>0</v>
      </c>
      <c r="AK21">
        <v>0</v>
      </c>
      <c r="AL21">
        <v>0</v>
      </c>
      <c r="AM21">
        <v>18</v>
      </c>
    </row>
    <row r="22" spans="1:39" x14ac:dyDescent="0.3">
      <c r="A22" t="s">
        <v>205</v>
      </c>
      <c r="B22">
        <v>1</v>
      </c>
      <c r="C22">
        <v>1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0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0</v>
      </c>
      <c r="AG22">
        <v>1</v>
      </c>
      <c r="AH22">
        <v>0</v>
      </c>
      <c r="AI22">
        <v>1</v>
      </c>
      <c r="AJ22">
        <v>1</v>
      </c>
      <c r="AK22">
        <v>0</v>
      </c>
      <c r="AL22">
        <v>0</v>
      </c>
      <c r="AM22">
        <v>18</v>
      </c>
    </row>
    <row r="23" spans="1:39" x14ac:dyDescent="0.3">
      <c r="A23" t="s">
        <v>206</v>
      </c>
      <c r="B23">
        <v>1</v>
      </c>
      <c r="C23">
        <v>1</v>
      </c>
      <c r="D23">
        <v>1</v>
      </c>
      <c r="E23">
        <v>0</v>
      </c>
      <c r="F23">
        <v>1</v>
      </c>
      <c r="G23">
        <v>1</v>
      </c>
      <c r="H23">
        <v>0</v>
      </c>
      <c r="I23">
        <v>0</v>
      </c>
      <c r="J23">
        <v>0</v>
      </c>
      <c r="K23">
        <v>1</v>
      </c>
      <c r="L23">
        <v>1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1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1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0</v>
      </c>
      <c r="AL23">
        <v>0</v>
      </c>
      <c r="AM23">
        <v>16</v>
      </c>
    </row>
    <row r="24" spans="1:39" x14ac:dyDescent="0.3">
      <c r="A24" t="s">
        <v>207</v>
      </c>
      <c r="B24">
        <v>1</v>
      </c>
      <c r="C24">
        <v>1</v>
      </c>
      <c r="D24">
        <v>0</v>
      </c>
      <c r="E24">
        <v>0</v>
      </c>
      <c r="F24">
        <v>1</v>
      </c>
      <c r="G24">
        <v>1</v>
      </c>
      <c r="H24">
        <v>0</v>
      </c>
      <c r="I24">
        <v>1</v>
      </c>
      <c r="J24">
        <v>0</v>
      </c>
      <c r="K24">
        <v>1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16</v>
      </c>
    </row>
    <row r="25" spans="1:39" x14ac:dyDescent="0.3">
      <c r="A25" t="s">
        <v>208</v>
      </c>
      <c r="B25">
        <v>0</v>
      </c>
      <c r="C25">
        <v>0</v>
      </c>
      <c r="D25">
        <v>0</v>
      </c>
      <c r="E25">
        <v>0</v>
      </c>
      <c r="F25">
        <v>0</v>
      </c>
      <c r="G25">
        <v>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2</v>
      </c>
      <c r="AF25">
        <v>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9</v>
      </c>
    </row>
    <row r="26" spans="1:39" x14ac:dyDescent="0.3">
      <c r="A26" t="s">
        <v>209</v>
      </c>
      <c r="B26">
        <v>3</v>
      </c>
      <c r="C26">
        <v>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8</v>
      </c>
    </row>
    <row r="27" spans="1:39" x14ac:dyDescent="0.3">
      <c r="A27" t="s">
        <v>210</v>
      </c>
      <c r="B27">
        <v>0</v>
      </c>
      <c r="C27">
        <v>0</v>
      </c>
      <c r="D27">
        <v>0</v>
      </c>
      <c r="E27">
        <v>0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8</v>
      </c>
    </row>
    <row r="28" spans="1:39" x14ac:dyDescent="0.3">
      <c r="A28" t="s">
        <v>211</v>
      </c>
      <c r="B28">
        <v>2</v>
      </c>
      <c r="C28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6</v>
      </c>
    </row>
    <row r="29" spans="1:39" x14ac:dyDescent="0.3">
      <c r="A29" t="s">
        <v>212</v>
      </c>
      <c r="B29">
        <v>0</v>
      </c>
      <c r="C29">
        <v>0</v>
      </c>
      <c r="D29">
        <v>0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2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6</v>
      </c>
    </row>
    <row r="30" spans="1:39" x14ac:dyDescent="0.3">
      <c r="A30" t="s">
        <v>213</v>
      </c>
      <c r="B30">
        <v>0</v>
      </c>
      <c r="C30">
        <v>0</v>
      </c>
      <c r="D30">
        <v>0</v>
      </c>
      <c r="E30">
        <v>0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2</v>
      </c>
      <c r="T30">
        <v>0</v>
      </c>
      <c r="U30">
        <v>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6</v>
      </c>
    </row>
    <row r="31" spans="1:39" x14ac:dyDescent="0.3">
      <c r="A31" t="s">
        <v>214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5</v>
      </c>
    </row>
    <row r="32" spans="1:39" x14ac:dyDescent="0.3">
      <c r="A32" t="s">
        <v>215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5</v>
      </c>
    </row>
    <row r="33" spans="1:39" x14ac:dyDescent="0.3">
      <c r="A33" t="s">
        <v>216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5</v>
      </c>
    </row>
    <row r="34" spans="1:39" x14ac:dyDescent="0.3">
      <c r="A34" t="s">
        <v>217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1</v>
      </c>
      <c r="AL34">
        <v>0</v>
      </c>
      <c r="AM34">
        <v>5</v>
      </c>
    </row>
    <row r="35" spans="1:39" x14ac:dyDescent="0.3">
      <c r="A35" t="s">
        <v>218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1</v>
      </c>
      <c r="AL35">
        <v>0</v>
      </c>
      <c r="AM35">
        <v>5</v>
      </c>
    </row>
    <row r="36" spans="1:39" x14ac:dyDescent="0.3">
      <c r="A36" t="s">
        <v>219</v>
      </c>
      <c r="B36">
        <v>1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4</v>
      </c>
    </row>
    <row r="37" spans="1:39" x14ac:dyDescent="0.3">
      <c r="A37" t="s">
        <v>220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4</v>
      </c>
    </row>
    <row r="38" spans="1:39" x14ac:dyDescent="0.3">
      <c r="A38" t="s">
        <v>221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4</v>
      </c>
    </row>
    <row r="39" spans="1:39" x14ac:dyDescent="0.3">
      <c r="A39" t="s">
        <v>222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4</v>
      </c>
    </row>
    <row r="40" spans="1:39" x14ac:dyDescent="0.3">
      <c r="A40" t="s">
        <v>223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4</v>
      </c>
    </row>
    <row r="41" spans="1:39" x14ac:dyDescent="0.3">
      <c r="A41" t="s">
        <v>224</v>
      </c>
      <c r="B41">
        <v>0</v>
      </c>
      <c r="C41">
        <v>0</v>
      </c>
      <c r="D41">
        <v>0</v>
      </c>
      <c r="E41">
        <v>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4</v>
      </c>
    </row>
    <row r="42" spans="1:39" x14ac:dyDescent="0.3">
      <c r="A42" t="s">
        <v>225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1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4</v>
      </c>
    </row>
    <row r="43" spans="1:39" x14ac:dyDescent="0.3">
      <c r="A43" t="s">
        <v>226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4</v>
      </c>
    </row>
    <row r="44" spans="1:39" x14ac:dyDescent="0.3">
      <c r="A44" t="s">
        <v>227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4</v>
      </c>
    </row>
    <row r="45" spans="1:39" x14ac:dyDescent="0.3">
      <c r="A45" t="s">
        <v>228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4</v>
      </c>
    </row>
    <row r="46" spans="1:39" x14ac:dyDescent="0.3">
      <c r="A46" t="s">
        <v>229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4</v>
      </c>
    </row>
    <row r="47" spans="1:39" x14ac:dyDescent="0.3">
      <c r="A47" t="s">
        <v>230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4</v>
      </c>
    </row>
    <row r="48" spans="1:39" x14ac:dyDescent="0.3">
      <c r="A48" t="s">
        <v>231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1</v>
      </c>
      <c r="AL48">
        <v>0</v>
      </c>
      <c r="AM48">
        <v>4</v>
      </c>
    </row>
    <row r="49" spans="1:39" x14ac:dyDescent="0.3">
      <c r="A49" t="s">
        <v>232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4</v>
      </c>
    </row>
    <row r="50" spans="1:39" x14ac:dyDescent="0.3">
      <c r="A50" t="s">
        <v>233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3</v>
      </c>
    </row>
    <row r="51" spans="1:39" x14ac:dyDescent="0.3">
      <c r="A51" t="s">
        <v>234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3</v>
      </c>
    </row>
    <row r="52" spans="1:39" x14ac:dyDescent="0.3">
      <c r="A52" t="s">
        <v>235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3</v>
      </c>
    </row>
    <row r="53" spans="1:39" x14ac:dyDescent="0.3">
      <c r="A53" t="s">
        <v>236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3</v>
      </c>
    </row>
    <row r="54" spans="1:39" x14ac:dyDescent="0.3">
      <c r="A54" t="s">
        <v>237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3</v>
      </c>
    </row>
    <row r="55" spans="1:39" x14ac:dyDescent="0.3">
      <c r="A55" t="s">
        <v>238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3</v>
      </c>
      <c r="AM55">
        <v>3</v>
      </c>
    </row>
    <row r="56" spans="1:39" x14ac:dyDescent="0.3">
      <c r="A56" t="s">
        <v>239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2</v>
      </c>
    </row>
    <row r="57" spans="1:39" x14ac:dyDescent="0.3">
      <c r="A57" t="s">
        <v>240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2</v>
      </c>
    </row>
    <row r="58" spans="1:39" x14ac:dyDescent="0.3">
      <c r="A58" t="s">
        <v>241</v>
      </c>
      <c r="B58">
        <v>1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2</v>
      </c>
    </row>
    <row r="59" spans="1:39" x14ac:dyDescent="0.3">
      <c r="A59" t="s">
        <v>242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2</v>
      </c>
    </row>
    <row r="60" spans="1:39" x14ac:dyDescent="0.3">
      <c r="A60" t="s">
        <v>243</v>
      </c>
      <c r="B60">
        <v>1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2</v>
      </c>
    </row>
    <row r="61" spans="1:39" x14ac:dyDescent="0.3">
      <c r="A61" t="s">
        <v>244</v>
      </c>
      <c r="B61">
        <v>1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2</v>
      </c>
    </row>
    <row r="62" spans="1:39" x14ac:dyDescent="0.3">
      <c r="A62" t="s">
        <v>245</v>
      </c>
      <c r="B62">
        <v>1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2</v>
      </c>
    </row>
    <row r="63" spans="1:39" x14ac:dyDescent="0.3">
      <c r="A63" t="s">
        <v>246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2</v>
      </c>
    </row>
    <row r="64" spans="1:39" x14ac:dyDescent="0.3">
      <c r="A64" t="s">
        <v>247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2</v>
      </c>
    </row>
    <row r="65" spans="1:39" x14ac:dyDescent="0.3">
      <c r="A65" t="s">
        <v>248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2</v>
      </c>
    </row>
    <row r="66" spans="1:39" x14ac:dyDescent="0.3">
      <c r="A66" t="s">
        <v>249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2</v>
      </c>
    </row>
    <row r="67" spans="1:39" x14ac:dyDescent="0.3">
      <c r="A67" t="s">
        <v>250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</v>
      </c>
    </row>
    <row r="68" spans="1:39" x14ac:dyDescent="0.3">
      <c r="A68" t="s">
        <v>251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</v>
      </c>
    </row>
    <row r="69" spans="1:39" x14ac:dyDescent="0.3">
      <c r="A69" t="s">
        <v>252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</v>
      </c>
    </row>
    <row r="70" spans="1:39" x14ac:dyDescent="0.3">
      <c r="A70" t="s">
        <v>253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</v>
      </c>
    </row>
    <row r="71" spans="1:39" x14ac:dyDescent="0.3">
      <c r="A71" t="s">
        <v>254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2</v>
      </c>
    </row>
    <row r="72" spans="1:39" x14ac:dyDescent="0.3">
      <c r="A72" t="s">
        <v>255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2</v>
      </c>
    </row>
    <row r="73" spans="1:39" x14ac:dyDescent="0.3">
      <c r="A73" t="s">
        <v>256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2</v>
      </c>
    </row>
    <row r="74" spans="1:39" x14ac:dyDescent="0.3">
      <c r="A74" t="s">
        <v>257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2</v>
      </c>
    </row>
    <row r="75" spans="1:39" x14ac:dyDescent="0.3">
      <c r="A75" t="s">
        <v>258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2</v>
      </c>
    </row>
    <row r="76" spans="1:39" x14ac:dyDescent="0.3">
      <c r="A76" t="s">
        <v>259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2</v>
      </c>
    </row>
    <row r="77" spans="1:39" x14ac:dyDescent="0.3">
      <c r="A77" t="s">
        <v>260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</v>
      </c>
    </row>
    <row r="78" spans="1:39" x14ac:dyDescent="0.3">
      <c r="A78" t="s">
        <v>261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2</v>
      </c>
    </row>
    <row r="79" spans="1:39" x14ac:dyDescent="0.3">
      <c r="A79" t="s">
        <v>262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2</v>
      </c>
    </row>
    <row r="80" spans="1:39" x14ac:dyDescent="0.3">
      <c r="A80" t="s">
        <v>263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2</v>
      </c>
    </row>
    <row r="81" spans="1:39" x14ac:dyDescent="0.3">
      <c r="A81" t="s">
        <v>264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</v>
      </c>
    </row>
    <row r="82" spans="1:39" x14ac:dyDescent="0.3">
      <c r="A82" t="s">
        <v>265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2</v>
      </c>
    </row>
    <row r="83" spans="1:39" x14ac:dyDescent="0.3">
      <c r="A83" t="s">
        <v>266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2</v>
      </c>
    </row>
    <row r="84" spans="1:39" x14ac:dyDescent="0.3">
      <c r="A84" t="s">
        <v>267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2</v>
      </c>
    </row>
    <row r="85" spans="1:39" x14ac:dyDescent="0.3">
      <c r="A85" t="s">
        <v>268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2</v>
      </c>
    </row>
    <row r="86" spans="1:39" x14ac:dyDescent="0.3">
      <c r="A86" t="s">
        <v>269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2</v>
      </c>
    </row>
    <row r="87" spans="1:39" x14ac:dyDescent="0.3">
      <c r="A87" t="s">
        <v>270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2</v>
      </c>
    </row>
    <row r="88" spans="1:39" x14ac:dyDescent="0.3">
      <c r="A88" t="s">
        <v>271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2</v>
      </c>
    </row>
    <row r="89" spans="1:39" x14ac:dyDescent="0.3">
      <c r="A89" t="s">
        <v>272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2</v>
      </c>
    </row>
    <row r="90" spans="1:39" x14ac:dyDescent="0.3">
      <c r="A90" t="s">
        <v>273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2</v>
      </c>
    </row>
    <row r="91" spans="1:39" x14ac:dyDescent="0.3">
      <c r="A91" t="s">
        <v>274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2</v>
      </c>
    </row>
    <row r="92" spans="1:39" x14ac:dyDescent="0.3">
      <c r="A92" t="s">
        <v>275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2</v>
      </c>
    </row>
    <row r="93" spans="1:39" x14ac:dyDescent="0.3">
      <c r="A93" t="s">
        <v>276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2</v>
      </c>
    </row>
    <row r="94" spans="1:39" x14ac:dyDescent="0.3">
      <c r="A94" t="s">
        <v>277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2</v>
      </c>
    </row>
    <row r="95" spans="1:39" x14ac:dyDescent="0.3">
      <c r="A95" t="s">
        <v>278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2</v>
      </c>
    </row>
    <row r="96" spans="1:39" x14ac:dyDescent="0.3">
      <c r="A96" t="s">
        <v>279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2</v>
      </c>
    </row>
    <row r="97" spans="1:39" x14ac:dyDescent="0.3">
      <c r="A97" t="s">
        <v>280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2</v>
      </c>
    </row>
    <row r="98" spans="1:39" x14ac:dyDescent="0.3">
      <c r="A98" t="s">
        <v>281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2</v>
      </c>
    </row>
    <row r="99" spans="1:39" x14ac:dyDescent="0.3">
      <c r="A99" t="s">
        <v>282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2</v>
      </c>
    </row>
    <row r="100" spans="1:39" x14ac:dyDescent="0.3">
      <c r="A100" t="s">
        <v>283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2</v>
      </c>
    </row>
    <row r="101" spans="1:39" x14ac:dyDescent="0.3">
      <c r="A101" t="s">
        <v>284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2</v>
      </c>
    </row>
    <row r="102" spans="1:39" x14ac:dyDescent="0.3">
      <c r="A102" t="s">
        <v>285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2</v>
      </c>
    </row>
    <row r="103" spans="1:39" x14ac:dyDescent="0.3">
      <c r="A103" t="s">
        <v>286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</v>
      </c>
      <c r="AK103">
        <v>0</v>
      </c>
      <c r="AL103">
        <v>0</v>
      </c>
      <c r="AM103">
        <v>2</v>
      </c>
    </row>
    <row r="104" spans="1:39" x14ac:dyDescent="0.3">
      <c r="A104" t="s">
        <v>287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</v>
      </c>
      <c r="AM104">
        <v>2</v>
      </c>
    </row>
    <row r="105" spans="1:39" x14ac:dyDescent="0.3">
      <c r="A105" t="s">
        <v>288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</v>
      </c>
      <c r="AM105">
        <v>2</v>
      </c>
    </row>
    <row r="106" spans="1:39" x14ac:dyDescent="0.3">
      <c r="A106" t="s">
        <v>289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</v>
      </c>
      <c r="AM106">
        <v>2</v>
      </c>
    </row>
  </sheetData>
  <conditionalFormatting sqref="B2:AL106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2E344-4165-473E-BDA6-435FB5E99BFF}">
  <dimension ref="A1:AL106"/>
  <sheetViews>
    <sheetView topLeftCell="A36" workbookViewId="0">
      <selection activeCell="C29" sqref="C29"/>
    </sheetView>
  </sheetViews>
  <sheetFormatPr defaultRowHeight="14" x14ac:dyDescent="0.3"/>
  <sheetData>
    <row r="1" spans="1:38" x14ac:dyDescent="0.3">
      <c r="A1" t="s">
        <v>148</v>
      </c>
      <c r="B1">
        <v>8054</v>
      </c>
      <c r="C1">
        <v>8158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170</v>
      </c>
      <c r="Z1" t="s">
        <v>171</v>
      </c>
      <c r="AA1" t="s">
        <v>172</v>
      </c>
      <c r="AB1" t="s">
        <v>173</v>
      </c>
      <c r="AC1" t="s">
        <v>174</v>
      </c>
      <c r="AD1" t="s">
        <v>175</v>
      </c>
      <c r="AE1" t="s">
        <v>176</v>
      </c>
      <c r="AF1" t="s">
        <v>177</v>
      </c>
      <c r="AG1" t="s">
        <v>178</v>
      </c>
      <c r="AH1" t="s">
        <v>179</v>
      </c>
      <c r="AI1" t="s">
        <v>180</v>
      </c>
      <c r="AJ1" t="s">
        <v>181</v>
      </c>
      <c r="AK1" t="s">
        <v>182</v>
      </c>
      <c r="AL1" t="s">
        <v>183</v>
      </c>
    </row>
    <row r="2" spans="1:38" x14ac:dyDescent="0.3">
      <c r="A2" t="s">
        <v>185</v>
      </c>
      <c r="B2" t="s">
        <v>290</v>
      </c>
      <c r="C2" t="s">
        <v>291</v>
      </c>
      <c r="D2" t="s">
        <v>292</v>
      </c>
      <c r="F2" t="s">
        <v>293</v>
      </c>
      <c r="G2" t="s">
        <v>294</v>
      </c>
      <c r="I2" t="s">
        <v>295</v>
      </c>
      <c r="J2" t="s">
        <v>296</v>
      </c>
      <c r="K2" t="s">
        <v>297</v>
      </c>
      <c r="L2" t="s">
        <v>298</v>
      </c>
      <c r="M2" t="s">
        <v>299</v>
      </c>
      <c r="N2" t="s">
        <v>300</v>
      </c>
      <c r="O2" t="s">
        <v>301</v>
      </c>
      <c r="P2" t="s">
        <v>302</v>
      </c>
      <c r="Q2" t="s">
        <v>303</v>
      </c>
      <c r="R2" t="s">
        <v>304</v>
      </c>
      <c r="T2" t="s">
        <v>305</v>
      </c>
      <c r="U2" t="s">
        <v>306</v>
      </c>
      <c r="V2" t="s">
        <v>307</v>
      </c>
      <c r="X2" t="s">
        <v>308</v>
      </c>
      <c r="Y2" t="s">
        <v>309</v>
      </c>
      <c r="Z2" t="s">
        <v>310</v>
      </c>
      <c r="AA2" t="s">
        <v>311</v>
      </c>
      <c r="AB2" t="s">
        <v>312</v>
      </c>
      <c r="AC2" t="s">
        <v>313</v>
      </c>
      <c r="AE2" t="s">
        <v>314</v>
      </c>
      <c r="AG2" t="s">
        <v>315</v>
      </c>
      <c r="AH2" t="s">
        <v>316</v>
      </c>
      <c r="AI2" t="s">
        <v>317</v>
      </c>
      <c r="AJ2" t="s">
        <v>318</v>
      </c>
      <c r="AK2" t="s">
        <v>319</v>
      </c>
      <c r="AL2" t="s">
        <v>320</v>
      </c>
    </row>
    <row r="3" spans="1:38" x14ac:dyDescent="0.3">
      <c r="A3" t="s">
        <v>186</v>
      </c>
      <c r="B3" t="s">
        <v>321</v>
      </c>
      <c r="C3" t="s">
        <v>322</v>
      </c>
      <c r="D3" t="s">
        <v>323</v>
      </c>
      <c r="E3" t="s">
        <v>324</v>
      </c>
      <c r="F3" t="s">
        <v>325</v>
      </c>
      <c r="G3" t="s">
        <v>326</v>
      </c>
      <c r="H3" t="s">
        <v>327</v>
      </c>
      <c r="I3" t="s">
        <v>328</v>
      </c>
      <c r="J3" t="s">
        <v>329</v>
      </c>
      <c r="K3" t="s">
        <v>330</v>
      </c>
      <c r="L3" t="s">
        <v>331</v>
      </c>
      <c r="M3" t="s">
        <v>332</v>
      </c>
      <c r="N3" t="s">
        <v>333</v>
      </c>
      <c r="O3" t="s">
        <v>334</v>
      </c>
      <c r="P3" t="s">
        <v>335</v>
      </c>
      <c r="Q3" t="s">
        <v>336</v>
      </c>
      <c r="R3" t="s">
        <v>337</v>
      </c>
      <c r="S3" t="s">
        <v>338</v>
      </c>
      <c r="T3" t="s">
        <v>339</v>
      </c>
      <c r="U3" t="s">
        <v>340</v>
      </c>
      <c r="V3" t="s">
        <v>341</v>
      </c>
      <c r="W3" t="s">
        <v>342</v>
      </c>
      <c r="X3" t="s">
        <v>343</v>
      </c>
      <c r="Y3" t="s">
        <v>344</v>
      </c>
      <c r="Z3" t="s">
        <v>345</v>
      </c>
      <c r="AA3" t="s">
        <v>346</v>
      </c>
      <c r="AB3" t="s">
        <v>347</v>
      </c>
      <c r="AC3" t="s">
        <v>348</v>
      </c>
      <c r="AD3" t="s">
        <v>349</v>
      </c>
      <c r="AE3" t="s">
        <v>350</v>
      </c>
      <c r="AF3" t="s">
        <v>351</v>
      </c>
      <c r="AG3" t="s">
        <v>352</v>
      </c>
      <c r="AH3" t="s">
        <v>353</v>
      </c>
      <c r="AI3" t="s">
        <v>354</v>
      </c>
      <c r="AJ3" t="s">
        <v>355</v>
      </c>
      <c r="AK3" t="s">
        <v>356</v>
      </c>
      <c r="AL3" t="s">
        <v>357</v>
      </c>
    </row>
    <row r="4" spans="1:38" x14ac:dyDescent="0.3">
      <c r="A4" t="s">
        <v>187</v>
      </c>
      <c r="B4" t="s">
        <v>358</v>
      </c>
      <c r="C4" t="s">
        <v>359</v>
      </c>
      <c r="D4" t="s">
        <v>360</v>
      </c>
      <c r="E4" t="s">
        <v>361</v>
      </c>
      <c r="F4" t="s">
        <v>362</v>
      </c>
      <c r="G4" t="s">
        <v>363</v>
      </c>
      <c r="H4" t="s">
        <v>364</v>
      </c>
      <c r="I4" t="s">
        <v>365</v>
      </c>
      <c r="J4" t="s">
        <v>366</v>
      </c>
      <c r="K4" t="s">
        <v>367</v>
      </c>
      <c r="L4" t="s">
        <v>368</v>
      </c>
      <c r="M4" t="s">
        <v>369</v>
      </c>
      <c r="N4" t="s">
        <v>370</v>
      </c>
      <c r="O4" t="s">
        <v>371</v>
      </c>
      <c r="P4" t="s">
        <v>372</v>
      </c>
      <c r="Q4" t="s">
        <v>373</v>
      </c>
      <c r="R4" t="s">
        <v>374</v>
      </c>
      <c r="S4" t="s">
        <v>375</v>
      </c>
      <c r="T4" t="s">
        <v>376</v>
      </c>
      <c r="U4" t="s">
        <v>377</v>
      </c>
      <c r="V4" t="s">
        <v>378</v>
      </c>
      <c r="W4" t="s">
        <v>379</v>
      </c>
      <c r="X4" t="s">
        <v>380</v>
      </c>
      <c r="Y4" t="s">
        <v>381</v>
      </c>
      <c r="Z4" t="s">
        <v>382</v>
      </c>
      <c r="AA4" t="s">
        <v>383</v>
      </c>
      <c r="AB4" t="s">
        <v>384</v>
      </c>
      <c r="AC4" t="s">
        <v>385</v>
      </c>
      <c r="AD4" t="s">
        <v>386</v>
      </c>
      <c r="AE4" t="s">
        <v>387</v>
      </c>
      <c r="AF4" t="s">
        <v>388</v>
      </c>
      <c r="AG4" t="s">
        <v>389</v>
      </c>
      <c r="AH4" t="s">
        <v>390</v>
      </c>
      <c r="AI4" t="s">
        <v>391</v>
      </c>
      <c r="AJ4" t="s">
        <v>392</v>
      </c>
      <c r="AK4" t="s">
        <v>393</v>
      </c>
      <c r="AL4" t="s">
        <v>394</v>
      </c>
    </row>
    <row r="5" spans="1:38" x14ac:dyDescent="0.3">
      <c r="A5" t="s">
        <v>188</v>
      </c>
      <c r="B5" t="s">
        <v>395</v>
      </c>
      <c r="C5" t="s">
        <v>396</v>
      </c>
      <c r="D5" t="s">
        <v>397</v>
      </c>
      <c r="E5" t="s">
        <v>398</v>
      </c>
      <c r="F5" t="s">
        <v>399</v>
      </c>
      <c r="G5" t="s">
        <v>400</v>
      </c>
      <c r="H5" t="s">
        <v>401</v>
      </c>
      <c r="I5" t="s">
        <v>402</v>
      </c>
      <c r="J5" t="s">
        <v>403</v>
      </c>
      <c r="K5" t="s">
        <v>404</v>
      </c>
      <c r="L5" t="s">
        <v>405</v>
      </c>
      <c r="M5" t="s">
        <v>406</v>
      </c>
      <c r="N5" t="s">
        <v>407</v>
      </c>
      <c r="O5" t="s">
        <v>408</v>
      </c>
      <c r="P5" t="s">
        <v>409</v>
      </c>
      <c r="Q5" t="s">
        <v>410</v>
      </c>
      <c r="R5" t="s">
        <v>411</v>
      </c>
      <c r="S5" t="s">
        <v>412</v>
      </c>
      <c r="T5" t="s">
        <v>413</v>
      </c>
      <c r="U5" t="s">
        <v>414</v>
      </c>
      <c r="V5" t="s">
        <v>415</v>
      </c>
      <c r="W5" t="s">
        <v>416</v>
      </c>
      <c r="X5" t="s">
        <v>417</v>
      </c>
      <c r="Y5" t="s">
        <v>418</v>
      </c>
      <c r="Z5" t="s">
        <v>419</v>
      </c>
      <c r="AA5" t="s">
        <v>420</v>
      </c>
      <c r="AB5" t="s">
        <v>421</v>
      </c>
      <c r="AC5" t="s">
        <v>422</v>
      </c>
      <c r="AD5" t="s">
        <v>423</v>
      </c>
      <c r="AE5" t="s">
        <v>424</v>
      </c>
      <c r="AF5" t="s">
        <v>425</v>
      </c>
      <c r="AG5" t="s">
        <v>426</v>
      </c>
      <c r="AH5" t="s">
        <v>427</v>
      </c>
      <c r="AI5" t="s">
        <v>428</v>
      </c>
      <c r="AJ5" t="s">
        <v>429</v>
      </c>
      <c r="AK5" t="s">
        <v>430</v>
      </c>
      <c r="AL5" t="s">
        <v>431</v>
      </c>
    </row>
    <row r="6" spans="1:38" x14ac:dyDescent="0.3">
      <c r="A6" t="s">
        <v>189</v>
      </c>
      <c r="B6" t="s">
        <v>432</v>
      </c>
      <c r="C6" t="s">
        <v>433</v>
      </c>
      <c r="D6" t="s">
        <v>434</v>
      </c>
      <c r="E6" t="s">
        <v>435</v>
      </c>
      <c r="F6" t="s">
        <v>436</v>
      </c>
      <c r="G6" t="s">
        <v>437</v>
      </c>
      <c r="H6" t="s">
        <v>438</v>
      </c>
      <c r="I6" t="s">
        <v>439</v>
      </c>
      <c r="J6" t="s">
        <v>440</v>
      </c>
      <c r="K6" t="s">
        <v>441</v>
      </c>
      <c r="L6" t="s">
        <v>442</v>
      </c>
      <c r="M6" t="s">
        <v>443</v>
      </c>
      <c r="N6" t="s">
        <v>444</v>
      </c>
      <c r="O6" t="s">
        <v>445</v>
      </c>
      <c r="P6" t="s">
        <v>446</v>
      </c>
      <c r="Q6" t="s">
        <v>447</v>
      </c>
      <c r="R6" t="s">
        <v>448</v>
      </c>
      <c r="S6" t="s">
        <v>449</v>
      </c>
      <c r="T6" t="s">
        <v>450</v>
      </c>
      <c r="U6" t="s">
        <v>451</v>
      </c>
      <c r="V6" t="s">
        <v>452</v>
      </c>
      <c r="W6" t="s">
        <v>453</v>
      </c>
      <c r="X6" t="s">
        <v>454</v>
      </c>
      <c r="Y6" t="s">
        <v>455</v>
      </c>
      <c r="Z6" t="s">
        <v>456</v>
      </c>
      <c r="AA6" t="s">
        <v>457</v>
      </c>
      <c r="AB6" t="s">
        <v>458</v>
      </c>
      <c r="AC6" t="s">
        <v>459</v>
      </c>
      <c r="AD6" t="s">
        <v>460</v>
      </c>
      <c r="AE6" t="s">
        <v>461</v>
      </c>
      <c r="AF6" t="s">
        <v>462</v>
      </c>
      <c r="AG6" t="s">
        <v>463</v>
      </c>
      <c r="AH6" t="s">
        <v>464</v>
      </c>
      <c r="AI6" t="s">
        <v>465</v>
      </c>
      <c r="AJ6" t="s">
        <v>466</v>
      </c>
      <c r="AK6" t="s">
        <v>467</v>
      </c>
      <c r="AL6" t="s">
        <v>468</v>
      </c>
    </row>
    <row r="7" spans="1:38" x14ac:dyDescent="0.3">
      <c r="A7" t="s">
        <v>190</v>
      </c>
      <c r="B7" t="s">
        <v>469</v>
      </c>
      <c r="C7" t="s">
        <v>470</v>
      </c>
      <c r="D7" t="s">
        <v>471</v>
      </c>
      <c r="E7" t="s">
        <v>472</v>
      </c>
      <c r="F7" t="s">
        <v>473</v>
      </c>
      <c r="G7" t="s">
        <v>474</v>
      </c>
      <c r="H7" t="s">
        <v>475</v>
      </c>
      <c r="I7" t="s">
        <v>476</v>
      </c>
      <c r="J7" t="s">
        <v>477</v>
      </c>
      <c r="K7" t="s">
        <v>478</v>
      </c>
      <c r="L7" t="s">
        <v>479</v>
      </c>
      <c r="M7" t="s">
        <v>480</v>
      </c>
      <c r="N7" t="s">
        <v>481</v>
      </c>
      <c r="O7" t="s">
        <v>482</v>
      </c>
      <c r="P7" t="s">
        <v>483</v>
      </c>
      <c r="Q7" t="s">
        <v>484</v>
      </c>
      <c r="R7" t="s">
        <v>485</v>
      </c>
      <c r="S7" t="s">
        <v>486</v>
      </c>
      <c r="T7" t="s">
        <v>487</v>
      </c>
      <c r="U7" t="s">
        <v>488</v>
      </c>
      <c r="V7" t="s">
        <v>489</v>
      </c>
      <c r="W7" t="s">
        <v>490</v>
      </c>
      <c r="X7" t="s">
        <v>491</v>
      </c>
      <c r="Y7" t="s">
        <v>492</v>
      </c>
      <c r="Z7" t="s">
        <v>493</v>
      </c>
      <c r="AA7" t="s">
        <v>494</v>
      </c>
      <c r="AB7" t="s">
        <v>495</v>
      </c>
      <c r="AC7" t="s">
        <v>496</v>
      </c>
      <c r="AD7" t="s">
        <v>497</v>
      </c>
      <c r="AE7" t="s">
        <v>498</v>
      </c>
      <c r="AF7" t="s">
        <v>499</v>
      </c>
      <c r="AG7" t="s">
        <v>500</v>
      </c>
      <c r="AH7" t="s">
        <v>501</v>
      </c>
      <c r="AI7" t="s">
        <v>502</v>
      </c>
      <c r="AJ7" t="s">
        <v>503</v>
      </c>
      <c r="AK7" t="s">
        <v>504</v>
      </c>
      <c r="AL7" t="s">
        <v>505</v>
      </c>
    </row>
    <row r="8" spans="1:38" x14ac:dyDescent="0.3">
      <c r="A8" t="s">
        <v>191</v>
      </c>
      <c r="B8" t="s">
        <v>506</v>
      </c>
      <c r="C8" t="s">
        <v>507</v>
      </c>
      <c r="D8" t="s">
        <v>508</v>
      </c>
      <c r="E8" t="s">
        <v>509</v>
      </c>
      <c r="F8" t="s">
        <v>510</v>
      </c>
      <c r="G8" t="s">
        <v>511</v>
      </c>
      <c r="H8" t="s">
        <v>512</v>
      </c>
      <c r="I8" t="s">
        <v>513</v>
      </c>
      <c r="J8" t="s">
        <v>514</v>
      </c>
      <c r="K8" t="s">
        <v>515</v>
      </c>
      <c r="L8" t="s">
        <v>516</v>
      </c>
      <c r="M8" t="s">
        <v>517</v>
      </c>
      <c r="N8" t="s">
        <v>518</v>
      </c>
      <c r="O8" t="s">
        <v>519</v>
      </c>
      <c r="P8" t="s">
        <v>520</v>
      </c>
      <c r="Q8" t="s">
        <v>521</v>
      </c>
      <c r="R8" t="s">
        <v>522</v>
      </c>
      <c r="S8" t="s">
        <v>523</v>
      </c>
      <c r="T8" t="s">
        <v>524</v>
      </c>
      <c r="U8" t="s">
        <v>525</v>
      </c>
      <c r="V8" t="s">
        <v>526</v>
      </c>
      <c r="W8" t="s">
        <v>527</v>
      </c>
      <c r="X8" t="s">
        <v>528</v>
      </c>
      <c r="Y8" t="s">
        <v>529</v>
      </c>
      <c r="Z8" t="s">
        <v>530</v>
      </c>
      <c r="AA8" t="s">
        <v>531</v>
      </c>
      <c r="AB8" t="s">
        <v>532</v>
      </c>
      <c r="AC8" t="s">
        <v>533</v>
      </c>
      <c r="AD8" t="s">
        <v>534</v>
      </c>
      <c r="AE8" t="s">
        <v>535</v>
      </c>
      <c r="AF8" t="s">
        <v>536</v>
      </c>
      <c r="AG8" t="s">
        <v>537</v>
      </c>
      <c r="AH8" t="s">
        <v>538</v>
      </c>
      <c r="AI8" t="s">
        <v>539</v>
      </c>
      <c r="AJ8" t="s">
        <v>540</v>
      </c>
      <c r="AK8" t="s">
        <v>541</v>
      </c>
      <c r="AL8" t="s">
        <v>542</v>
      </c>
    </row>
    <row r="9" spans="1:38" x14ac:dyDescent="0.3">
      <c r="A9" t="s">
        <v>192</v>
      </c>
      <c r="B9" t="s">
        <v>543</v>
      </c>
      <c r="C9" t="s">
        <v>544</v>
      </c>
      <c r="D9" t="s">
        <v>545</v>
      </c>
      <c r="E9" t="s">
        <v>546</v>
      </c>
      <c r="F9" t="s">
        <v>547</v>
      </c>
      <c r="G9" t="s">
        <v>548</v>
      </c>
      <c r="H9" t="s">
        <v>549</v>
      </c>
      <c r="I9" t="s">
        <v>550</v>
      </c>
      <c r="J9" t="s">
        <v>551</v>
      </c>
      <c r="K9" t="s">
        <v>552</v>
      </c>
      <c r="L9" t="s">
        <v>553</v>
      </c>
      <c r="M9" t="s">
        <v>554</v>
      </c>
      <c r="N9" t="s">
        <v>555</v>
      </c>
      <c r="O9" t="s">
        <v>556</v>
      </c>
      <c r="P9" t="s">
        <v>557</v>
      </c>
      <c r="Q9" t="s">
        <v>558</v>
      </c>
      <c r="R9" t="s">
        <v>559</v>
      </c>
      <c r="S9" t="s">
        <v>560</v>
      </c>
      <c r="T9" t="s">
        <v>561</v>
      </c>
      <c r="U9" t="s">
        <v>562</v>
      </c>
      <c r="V9" t="s">
        <v>563</v>
      </c>
      <c r="W9" t="s">
        <v>564</v>
      </c>
      <c r="X9" t="s">
        <v>565</v>
      </c>
      <c r="Y9" t="s">
        <v>566</v>
      </c>
      <c r="Z9" t="s">
        <v>567</v>
      </c>
      <c r="AA9" t="s">
        <v>568</v>
      </c>
      <c r="AB9" t="s">
        <v>569</v>
      </c>
      <c r="AC9" t="s">
        <v>570</v>
      </c>
      <c r="AD9" t="s">
        <v>571</v>
      </c>
      <c r="AE9" t="s">
        <v>572</v>
      </c>
      <c r="AG9" t="s">
        <v>573</v>
      </c>
      <c r="AH9" t="s">
        <v>574</v>
      </c>
      <c r="AI9" t="s">
        <v>575</v>
      </c>
      <c r="AJ9" t="s">
        <v>576</v>
      </c>
      <c r="AK9" t="s">
        <v>577</v>
      </c>
      <c r="AL9" t="s">
        <v>578</v>
      </c>
    </row>
    <row r="10" spans="1:38" x14ac:dyDescent="0.3">
      <c r="A10" t="s">
        <v>193</v>
      </c>
      <c r="B10" t="s">
        <v>579</v>
      </c>
      <c r="C10" t="s">
        <v>580</v>
      </c>
      <c r="D10" t="s">
        <v>581</v>
      </c>
      <c r="E10" t="s">
        <v>582</v>
      </c>
      <c r="F10" t="s">
        <v>583</v>
      </c>
      <c r="G10" t="s">
        <v>584</v>
      </c>
      <c r="H10" t="s">
        <v>585</v>
      </c>
      <c r="I10" t="s">
        <v>586</v>
      </c>
      <c r="J10" t="s">
        <v>587</v>
      </c>
      <c r="K10" t="s">
        <v>588</v>
      </c>
      <c r="L10" t="s">
        <v>589</v>
      </c>
      <c r="M10" t="s">
        <v>590</v>
      </c>
      <c r="N10" t="s">
        <v>591</v>
      </c>
      <c r="O10" t="s">
        <v>592</v>
      </c>
      <c r="P10" t="s">
        <v>593</v>
      </c>
      <c r="Q10" t="s">
        <v>594</v>
      </c>
      <c r="R10" t="s">
        <v>595</v>
      </c>
      <c r="S10" t="s">
        <v>596</v>
      </c>
      <c r="T10" t="s">
        <v>597</v>
      </c>
      <c r="U10" t="s">
        <v>598</v>
      </c>
      <c r="V10" t="s">
        <v>599</v>
      </c>
      <c r="W10" t="s">
        <v>600</v>
      </c>
      <c r="X10" t="s">
        <v>601</v>
      </c>
      <c r="Y10" t="s">
        <v>602</v>
      </c>
      <c r="Z10" t="s">
        <v>603</v>
      </c>
      <c r="AA10" t="s">
        <v>604</v>
      </c>
      <c r="AB10" t="s">
        <v>605</v>
      </c>
      <c r="AC10" t="s">
        <v>606</v>
      </c>
      <c r="AD10" t="s">
        <v>607</v>
      </c>
      <c r="AE10" t="s">
        <v>608</v>
      </c>
      <c r="AG10" t="s">
        <v>609</v>
      </c>
      <c r="AH10" t="s">
        <v>610</v>
      </c>
      <c r="AI10" t="s">
        <v>611</v>
      </c>
      <c r="AJ10" t="s">
        <v>612</v>
      </c>
      <c r="AK10" t="s">
        <v>613</v>
      </c>
      <c r="AL10" t="s">
        <v>614</v>
      </c>
    </row>
    <row r="11" spans="1:38" x14ac:dyDescent="0.3">
      <c r="A11" t="s">
        <v>194</v>
      </c>
      <c r="B11" t="s">
        <v>615</v>
      </c>
      <c r="C11" t="s">
        <v>616</v>
      </c>
      <c r="D11" t="s">
        <v>617</v>
      </c>
      <c r="E11" t="s">
        <v>618</v>
      </c>
      <c r="F11" t="s">
        <v>619</v>
      </c>
      <c r="G11" t="s">
        <v>620</v>
      </c>
      <c r="H11" t="s">
        <v>621</v>
      </c>
      <c r="I11" t="s">
        <v>622</v>
      </c>
      <c r="J11" t="s">
        <v>623</v>
      </c>
      <c r="K11" t="s">
        <v>624</v>
      </c>
      <c r="L11" t="s">
        <v>625</v>
      </c>
      <c r="M11" t="s">
        <v>626</v>
      </c>
      <c r="N11" t="s">
        <v>627</v>
      </c>
      <c r="O11" t="s">
        <v>628</v>
      </c>
      <c r="P11" t="s">
        <v>629</v>
      </c>
      <c r="Q11" t="s">
        <v>630</v>
      </c>
      <c r="R11" t="s">
        <v>631</v>
      </c>
      <c r="S11" t="s">
        <v>632</v>
      </c>
      <c r="T11" t="s">
        <v>633</v>
      </c>
      <c r="U11" t="s">
        <v>634</v>
      </c>
      <c r="V11" t="s">
        <v>635</v>
      </c>
      <c r="W11" t="s">
        <v>636</v>
      </c>
      <c r="X11" t="s">
        <v>637</v>
      </c>
      <c r="Y11" t="s">
        <v>638</v>
      </c>
      <c r="Z11" t="s">
        <v>639</v>
      </c>
      <c r="AA11" t="s">
        <v>640</v>
      </c>
      <c r="AB11" t="s">
        <v>641</v>
      </c>
      <c r="AC11" t="s">
        <v>642</v>
      </c>
      <c r="AD11" t="s">
        <v>643</v>
      </c>
      <c r="AE11" t="s">
        <v>644</v>
      </c>
      <c r="AG11" t="s">
        <v>645</v>
      </c>
      <c r="AH11" t="s">
        <v>646</v>
      </c>
      <c r="AI11" t="s">
        <v>647</v>
      </c>
      <c r="AJ11" t="s">
        <v>648</v>
      </c>
      <c r="AK11" t="s">
        <v>649</v>
      </c>
      <c r="AL11" t="s">
        <v>650</v>
      </c>
    </row>
    <row r="12" spans="1:38" x14ac:dyDescent="0.3">
      <c r="A12" t="s">
        <v>195</v>
      </c>
      <c r="B12" t="s">
        <v>651</v>
      </c>
      <c r="C12" t="s">
        <v>652</v>
      </c>
      <c r="D12" t="s">
        <v>653</v>
      </c>
      <c r="E12" t="s">
        <v>654</v>
      </c>
      <c r="F12" t="s">
        <v>655</v>
      </c>
      <c r="G12" t="s">
        <v>656</v>
      </c>
      <c r="H12" t="s">
        <v>657</v>
      </c>
      <c r="I12" t="s">
        <v>658</v>
      </c>
      <c r="J12" t="s">
        <v>659</v>
      </c>
      <c r="K12" t="s">
        <v>660</v>
      </c>
      <c r="L12" t="s">
        <v>661</v>
      </c>
      <c r="M12" t="s">
        <v>662</v>
      </c>
      <c r="N12" t="s">
        <v>663</v>
      </c>
      <c r="O12" t="s">
        <v>664</v>
      </c>
      <c r="P12" t="s">
        <v>665</v>
      </c>
      <c r="Q12" t="s">
        <v>666</v>
      </c>
      <c r="R12" t="s">
        <v>667</v>
      </c>
      <c r="S12" t="s">
        <v>668</v>
      </c>
      <c r="T12" t="s">
        <v>669</v>
      </c>
      <c r="U12" t="s">
        <v>670</v>
      </c>
      <c r="V12" t="s">
        <v>671</v>
      </c>
      <c r="W12" t="s">
        <v>672</v>
      </c>
      <c r="X12" t="s">
        <v>673</v>
      </c>
      <c r="Y12" t="s">
        <v>674</v>
      </c>
      <c r="Z12" t="s">
        <v>675</v>
      </c>
      <c r="AA12" t="s">
        <v>676</v>
      </c>
      <c r="AB12" t="s">
        <v>677</v>
      </c>
      <c r="AC12" t="s">
        <v>678</v>
      </c>
      <c r="AD12" t="s">
        <v>679</v>
      </c>
      <c r="AE12" t="s">
        <v>680</v>
      </c>
      <c r="AG12" t="s">
        <v>681</v>
      </c>
      <c r="AH12" t="s">
        <v>682</v>
      </c>
      <c r="AI12" t="s">
        <v>683</v>
      </c>
      <c r="AJ12" t="s">
        <v>684</v>
      </c>
      <c r="AK12" t="s">
        <v>685</v>
      </c>
      <c r="AL12" t="s">
        <v>686</v>
      </c>
    </row>
    <row r="13" spans="1:38" x14ac:dyDescent="0.3">
      <c r="A13" t="s">
        <v>196</v>
      </c>
      <c r="B13" t="s">
        <v>687</v>
      </c>
      <c r="C13" t="s">
        <v>688</v>
      </c>
      <c r="D13" t="s">
        <v>689</v>
      </c>
      <c r="E13" t="s">
        <v>690</v>
      </c>
      <c r="F13" t="s">
        <v>691</v>
      </c>
      <c r="G13" t="s">
        <v>692</v>
      </c>
      <c r="H13" t="s">
        <v>693</v>
      </c>
      <c r="I13" t="s">
        <v>694</v>
      </c>
      <c r="J13" t="s">
        <v>695</v>
      </c>
      <c r="K13" t="s">
        <v>696</v>
      </c>
      <c r="L13" t="s">
        <v>697</v>
      </c>
      <c r="M13" t="s">
        <v>698</v>
      </c>
      <c r="N13" t="s">
        <v>699</v>
      </c>
      <c r="O13" t="s">
        <v>700</v>
      </c>
      <c r="P13" t="s">
        <v>701</v>
      </c>
      <c r="Q13" t="s">
        <v>702</v>
      </c>
      <c r="R13" t="s">
        <v>703</v>
      </c>
      <c r="S13" t="s">
        <v>704</v>
      </c>
      <c r="T13" t="s">
        <v>705</v>
      </c>
      <c r="U13" t="s">
        <v>706</v>
      </c>
      <c r="V13" t="s">
        <v>707</v>
      </c>
      <c r="W13" t="s">
        <v>708</v>
      </c>
      <c r="X13" t="s">
        <v>709</v>
      </c>
      <c r="Y13" t="s">
        <v>710</v>
      </c>
      <c r="Z13" t="s">
        <v>711</v>
      </c>
      <c r="AA13" t="s">
        <v>712</v>
      </c>
      <c r="AB13" t="s">
        <v>713</v>
      </c>
      <c r="AC13" t="s">
        <v>714</v>
      </c>
      <c r="AD13" t="s">
        <v>715</v>
      </c>
      <c r="AE13" t="s">
        <v>716</v>
      </c>
      <c r="AG13" t="s">
        <v>717</v>
      </c>
      <c r="AH13" t="s">
        <v>718</v>
      </c>
      <c r="AI13" t="s">
        <v>719</v>
      </c>
      <c r="AJ13" t="s">
        <v>720</v>
      </c>
      <c r="AK13" t="s">
        <v>721</v>
      </c>
    </row>
    <row r="14" spans="1:38" x14ac:dyDescent="0.3">
      <c r="A14" t="s">
        <v>197</v>
      </c>
      <c r="B14" t="s">
        <v>722</v>
      </c>
      <c r="C14" t="s">
        <v>723</v>
      </c>
      <c r="D14" t="s">
        <v>724</v>
      </c>
      <c r="E14" t="s">
        <v>725</v>
      </c>
      <c r="F14" t="s">
        <v>726</v>
      </c>
      <c r="G14" t="s">
        <v>727</v>
      </c>
      <c r="H14" t="s">
        <v>728</v>
      </c>
      <c r="I14" t="s">
        <v>729</v>
      </c>
      <c r="K14" t="s">
        <v>730</v>
      </c>
      <c r="L14" t="s">
        <v>731</v>
      </c>
      <c r="M14" t="s">
        <v>732</v>
      </c>
      <c r="N14" t="s">
        <v>733</v>
      </c>
      <c r="O14" t="s">
        <v>734</v>
      </c>
      <c r="P14" t="s">
        <v>735</v>
      </c>
      <c r="Q14" t="s">
        <v>736</v>
      </c>
      <c r="R14" t="s">
        <v>737</v>
      </c>
      <c r="S14" t="s">
        <v>738</v>
      </c>
      <c r="T14" t="s">
        <v>739</v>
      </c>
      <c r="U14" t="s">
        <v>740</v>
      </c>
      <c r="V14" t="s">
        <v>741</v>
      </c>
      <c r="W14" t="s">
        <v>742</v>
      </c>
      <c r="X14" t="s">
        <v>743</v>
      </c>
      <c r="Y14" t="s">
        <v>744</v>
      </c>
      <c r="Z14" t="s">
        <v>745</v>
      </c>
      <c r="AA14" t="s">
        <v>746</v>
      </c>
      <c r="AB14" t="s">
        <v>747</v>
      </c>
      <c r="AC14" t="s">
        <v>748</v>
      </c>
      <c r="AD14" t="s">
        <v>749</v>
      </c>
      <c r="AE14" t="s">
        <v>750</v>
      </c>
      <c r="AG14" t="s">
        <v>751</v>
      </c>
      <c r="AH14" t="s">
        <v>752</v>
      </c>
      <c r="AI14" t="s">
        <v>753</v>
      </c>
      <c r="AJ14" t="s">
        <v>754</v>
      </c>
      <c r="AK14" t="s">
        <v>755</v>
      </c>
      <c r="AL14" t="s">
        <v>756</v>
      </c>
    </row>
    <row r="15" spans="1:38" x14ac:dyDescent="0.3">
      <c r="A15" t="s">
        <v>198</v>
      </c>
      <c r="B15" t="s">
        <v>757</v>
      </c>
      <c r="C15" t="s">
        <v>758</v>
      </c>
      <c r="D15" t="s">
        <v>759</v>
      </c>
      <c r="F15" t="s">
        <v>760</v>
      </c>
      <c r="G15" t="s">
        <v>761</v>
      </c>
      <c r="H15" t="s">
        <v>762</v>
      </c>
      <c r="I15" t="s">
        <v>763</v>
      </c>
      <c r="J15" t="s">
        <v>764</v>
      </c>
      <c r="K15" t="s">
        <v>765</v>
      </c>
      <c r="L15" t="s">
        <v>766</v>
      </c>
      <c r="M15" t="s">
        <v>767</v>
      </c>
      <c r="N15" t="s">
        <v>768</v>
      </c>
      <c r="O15" t="s">
        <v>769</v>
      </c>
      <c r="P15" t="s">
        <v>770</v>
      </c>
      <c r="T15" t="s">
        <v>771</v>
      </c>
      <c r="U15" t="s">
        <v>772</v>
      </c>
      <c r="AA15" t="s">
        <v>773</v>
      </c>
      <c r="AB15" t="s">
        <v>774</v>
      </c>
      <c r="AC15" t="s">
        <v>775</v>
      </c>
      <c r="AD15" t="s">
        <v>776</v>
      </c>
      <c r="AE15" t="s">
        <v>777</v>
      </c>
      <c r="AG15" t="s">
        <v>778</v>
      </c>
      <c r="AI15" t="s">
        <v>779</v>
      </c>
      <c r="AJ15" t="s">
        <v>780</v>
      </c>
    </row>
    <row r="16" spans="1:38" x14ac:dyDescent="0.3">
      <c r="A16" t="s">
        <v>199</v>
      </c>
      <c r="B16" t="s">
        <v>781</v>
      </c>
      <c r="C16" t="s">
        <v>782</v>
      </c>
      <c r="D16" t="s">
        <v>783</v>
      </c>
      <c r="F16" t="s">
        <v>784</v>
      </c>
      <c r="G16" t="s">
        <v>785</v>
      </c>
      <c r="H16" t="s">
        <v>786</v>
      </c>
      <c r="I16" t="s">
        <v>787</v>
      </c>
      <c r="J16" t="s">
        <v>788</v>
      </c>
      <c r="K16" t="s">
        <v>789</v>
      </c>
      <c r="L16" t="s">
        <v>790</v>
      </c>
      <c r="M16" t="s">
        <v>791</v>
      </c>
      <c r="N16" t="s">
        <v>792</v>
      </c>
      <c r="O16" t="s">
        <v>793</v>
      </c>
      <c r="P16" t="s">
        <v>794</v>
      </c>
      <c r="Q16" t="s">
        <v>795</v>
      </c>
      <c r="T16" t="s">
        <v>796</v>
      </c>
      <c r="U16" t="s">
        <v>797</v>
      </c>
      <c r="X16" t="s">
        <v>798</v>
      </c>
      <c r="Y16" t="s">
        <v>799</v>
      </c>
      <c r="Z16" t="s">
        <v>800</v>
      </c>
      <c r="AA16" t="s">
        <v>801</v>
      </c>
      <c r="AB16" t="s">
        <v>802</v>
      </c>
      <c r="AC16" t="s">
        <v>803</v>
      </c>
      <c r="AD16" t="s">
        <v>804</v>
      </c>
      <c r="AE16" t="s">
        <v>805</v>
      </c>
      <c r="AG16" t="s">
        <v>806</v>
      </c>
      <c r="AH16" t="s">
        <v>807</v>
      </c>
      <c r="AI16" t="s">
        <v>808</v>
      </c>
      <c r="AJ16" t="s">
        <v>809</v>
      </c>
    </row>
    <row r="17" spans="1:36" x14ac:dyDescent="0.3">
      <c r="A17" t="s">
        <v>200</v>
      </c>
      <c r="B17" t="s">
        <v>810</v>
      </c>
      <c r="C17" t="s">
        <v>811</v>
      </c>
      <c r="D17" t="s">
        <v>812</v>
      </c>
      <c r="H17" t="s">
        <v>813</v>
      </c>
      <c r="J17" t="s">
        <v>814</v>
      </c>
      <c r="N17" t="s">
        <v>815</v>
      </c>
      <c r="O17" t="s">
        <v>816</v>
      </c>
      <c r="T17" t="s">
        <v>817</v>
      </c>
      <c r="AA17" t="s">
        <v>818</v>
      </c>
      <c r="AB17" t="s">
        <v>819</v>
      </c>
      <c r="AC17" t="s">
        <v>820</v>
      </c>
      <c r="AD17" t="s">
        <v>821</v>
      </c>
      <c r="AG17" t="s">
        <v>822</v>
      </c>
      <c r="AI17" t="s">
        <v>823</v>
      </c>
      <c r="AJ17" t="s">
        <v>824</v>
      </c>
    </row>
    <row r="18" spans="1:36" x14ac:dyDescent="0.3">
      <c r="A18" t="s">
        <v>201</v>
      </c>
      <c r="B18" t="s">
        <v>825</v>
      </c>
      <c r="C18" t="s">
        <v>826</v>
      </c>
      <c r="D18" t="s">
        <v>827</v>
      </c>
      <c r="F18" t="s">
        <v>828</v>
      </c>
      <c r="G18" t="s">
        <v>829</v>
      </c>
      <c r="H18" t="s">
        <v>830</v>
      </c>
      <c r="I18" t="s">
        <v>831</v>
      </c>
      <c r="J18" t="s">
        <v>832</v>
      </c>
      <c r="L18" t="s">
        <v>833</v>
      </c>
      <c r="N18" t="s">
        <v>834</v>
      </c>
      <c r="O18" t="s">
        <v>835</v>
      </c>
      <c r="T18" t="s">
        <v>836</v>
      </c>
      <c r="U18" t="s">
        <v>837</v>
      </c>
      <c r="AA18" t="s">
        <v>838</v>
      </c>
      <c r="AB18" t="s">
        <v>839</v>
      </c>
      <c r="AC18" t="s">
        <v>840</v>
      </c>
      <c r="AD18" t="s">
        <v>841</v>
      </c>
      <c r="AE18" t="s">
        <v>842</v>
      </c>
      <c r="AG18" t="s">
        <v>843</v>
      </c>
      <c r="AI18" t="s">
        <v>844</v>
      </c>
      <c r="AJ18" t="s">
        <v>845</v>
      </c>
    </row>
    <row r="19" spans="1:36" x14ac:dyDescent="0.3">
      <c r="A19" t="s">
        <v>202</v>
      </c>
      <c r="B19" t="s">
        <v>846</v>
      </c>
      <c r="C19" t="s">
        <v>847</v>
      </c>
      <c r="D19" t="s">
        <v>848</v>
      </c>
      <c r="F19" t="s">
        <v>849</v>
      </c>
      <c r="G19" t="s">
        <v>850</v>
      </c>
      <c r="H19" t="s">
        <v>851</v>
      </c>
      <c r="I19" t="s">
        <v>852</v>
      </c>
      <c r="J19" t="s">
        <v>853</v>
      </c>
      <c r="L19" t="s">
        <v>854</v>
      </c>
      <c r="N19" t="s">
        <v>855</v>
      </c>
      <c r="O19" t="s">
        <v>856</v>
      </c>
      <c r="T19" t="s">
        <v>857</v>
      </c>
      <c r="U19" t="s">
        <v>858</v>
      </c>
      <c r="Y19" t="s">
        <v>859</v>
      </c>
      <c r="Z19" t="s">
        <v>860</v>
      </c>
      <c r="AA19" t="s">
        <v>861</v>
      </c>
      <c r="AB19" t="s">
        <v>862</v>
      </c>
      <c r="AC19" t="s">
        <v>863</v>
      </c>
      <c r="AD19" t="s">
        <v>864</v>
      </c>
      <c r="AE19" t="s">
        <v>865</v>
      </c>
      <c r="AG19" t="s">
        <v>866</v>
      </c>
      <c r="AI19" t="s">
        <v>867</v>
      </c>
      <c r="AJ19" t="s">
        <v>868</v>
      </c>
    </row>
    <row r="20" spans="1:36" x14ac:dyDescent="0.3">
      <c r="A20" t="s">
        <v>203</v>
      </c>
      <c r="B20" t="s">
        <v>869</v>
      </c>
      <c r="C20" t="s">
        <v>870</v>
      </c>
      <c r="D20" t="s">
        <v>871</v>
      </c>
      <c r="F20" t="s">
        <v>872</v>
      </c>
      <c r="I20" t="s">
        <v>873</v>
      </c>
      <c r="K20" t="s">
        <v>874</v>
      </c>
      <c r="L20" t="s">
        <v>875</v>
      </c>
      <c r="N20" t="s">
        <v>876</v>
      </c>
      <c r="O20" t="s">
        <v>877</v>
      </c>
      <c r="T20" t="s">
        <v>878</v>
      </c>
      <c r="U20" t="s">
        <v>879</v>
      </c>
      <c r="AA20" t="s">
        <v>880</v>
      </c>
      <c r="AB20" t="s">
        <v>881</v>
      </c>
      <c r="AC20" t="s">
        <v>882</v>
      </c>
      <c r="AD20" t="s">
        <v>883</v>
      </c>
      <c r="AG20" t="s">
        <v>884</v>
      </c>
      <c r="AI20" t="s">
        <v>885</v>
      </c>
      <c r="AJ20" t="s">
        <v>886</v>
      </c>
    </row>
    <row r="21" spans="1:36" x14ac:dyDescent="0.3">
      <c r="A21" t="s">
        <v>204</v>
      </c>
      <c r="B21" t="s">
        <v>887</v>
      </c>
      <c r="C21" t="s">
        <v>888</v>
      </c>
      <c r="E21" t="s">
        <v>889</v>
      </c>
      <c r="K21" t="s">
        <v>890</v>
      </c>
      <c r="L21" t="s">
        <v>891</v>
      </c>
      <c r="M21" t="s">
        <v>892</v>
      </c>
      <c r="O21" t="s">
        <v>893</v>
      </c>
      <c r="S21" t="s">
        <v>894</v>
      </c>
      <c r="T21" t="s">
        <v>895</v>
      </c>
      <c r="V21" t="s">
        <v>896</v>
      </c>
      <c r="W21" t="s">
        <v>897</v>
      </c>
      <c r="Y21" t="s">
        <v>898</v>
      </c>
      <c r="Z21" t="s">
        <v>899</v>
      </c>
      <c r="AB21" t="s">
        <v>900</v>
      </c>
      <c r="AC21" t="s">
        <v>901</v>
      </c>
      <c r="AF21" t="s">
        <v>902</v>
      </c>
      <c r="AH21" t="s">
        <v>903</v>
      </c>
      <c r="AI21" t="s">
        <v>904</v>
      </c>
    </row>
    <row r="22" spans="1:36" x14ac:dyDescent="0.3">
      <c r="A22" t="s">
        <v>205</v>
      </c>
      <c r="B22" t="s">
        <v>905</v>
      </c>
      <c r="C22" t="s">
        <v>906</v>
      </c>
      <c r="D22" t="s">
        <v>907</v>
      </c>
      <c r="F22" t="s">
        <v>908</v>
      </c>
      <c r="K22" t="s">
        <v>909</v>
      </c>
      <c r="L22" t="s">
        <v>910</v>
      </c>
      <c r="N22" t="s">
        <v>911</v>
      </c>
      <c r="O22" t="s">
        <v>912</v>
      </c>
      <c r="T22" t="s">
        <v>913</v>
      </c>
      <c r="U22" t="s">
        <v>914</v>
      </c>
      <c r="AA22" t="s">
        <v>915</v>
      </c>
      <c r="AB22" t="s">
        <v>916</v>
      </c>
      <c r="AC22" t="s">
        <v>917</v>
      </c>
      <c r="AD22" t="s">
        <v>918</v>
      </c>
      <c r="AE22" t="s">
        <v>919</v>
      </c>
      <c r="AG22" t="s">
        <v>920</v>
      </c>
      <c r="AI22" t="s">
        <v>921</v>
      </c>
      <c r="AJ22" t="s">
        <v>922</v>
      </c>
    </row>
    <row r="23" spans="1:36" x14ac:dyDescent="0.3">
      <c r="A23" t="s">
        <v>206</v>
      </c>
      <c r="B23" t="s">
        <v>923</v>
      </c>
      <c r="C23" t="s">
        <v>924</v>
      </c>
      <c r="D23" t="s">
        <v>925</v>
      </c>
      <c r="F23" t="s">
        <v>926</v>
      </c>
      <c r="G23" t="s">
        <v>927</v>
      </c>
      <c r="K23" t="s">
        <v>928</v>
      </c>
      <c r="L23" t="s">
        <v>929</v>
      </c>
      <c r="N23" t="s">
        <v>930</v>
      </c>
      <c r="O23" t="s">
        <v>931</v>
      </c>
      <c r="T23" t="s">
        <v>932</v>
      </c>
      <c r="U23" t="s">
        <v>933</v>
      </c>
      <c r="AA23" t="s">
        <v>934</v>
      </c>
      <c r="AB23" t="s">
        <v>935</v>
      </c>
      <c r="AE23" t="s">
        <v>936</v>
      </c>
      <c r="AI23" t="s">
        <v>937</v>
      </c>
      <c r="AJ23" t="s">
        <v>938</v>
      </c>
    </row>
    <row r="24" spans="1:36" x14ac:dyDescent="0.3">
      <c r="A24" t="s">
        <v>207</v>
      </c>
      <c r="B24" t="s">
        <v>939</v>
      </c>
      <c r="C24" t="s">
        <v>940</v>
      </c>
      <c r="F24" t="s">
        <v>941</v>
      </c>
      <c r="G24" t="s">
        <v>942</v>
      </c>
      <c r="I24" t="s">
        <v>943</v>
      </c>
      <c r="K24" t="s">
        <v>944</v>
      </c>
      <c r="N24" t="s">
        <v>945</v>
      </c>
      <c r="O24" t="s">
        <v>946</v>
      </c>
      <c r="T24" t="s">
        <v>947</v>
      </c>
      <c r="U24" t="s">
        <v>948</v>
      </c>
      <c r="AA24" t="s">
        <v>949</v>
      </c>
      <c r="AB24" t="s">
        <v>950</v>
      </c>
      <c r="AC24" t="s">
        <v>951</v>
      </c>
      <c r="AD24" t="s">
        <v>952</v>
      </c>
      <c r="AE24" t="s">
        <v>953</v>
      </c>
      <c r="AI24" t="s">
        <v>954</v>
      </c>
    </row>
    <row r="25" spans="1:36" x14ac:dyDescent="0.3">
      <c r="A25" t="s">
        <v>208</v>
      </c>
      <c r="G25" t="s">
        <v>955</v>
      </c>
      <c r="S25" t="s">
        <v>956</v>
      </c>
      <c r="V25" t="s">
        <v>957</v>
      </c>
      <c r="AE25" t="s">
        <v>958</v>
      </c>
      <c r="AI25" t="s">
        <v>959</v>
      </c>
    </row>
    <row r="26" spans="1:36" x14ac:dyDescent="0.3">
      <c r="A26" t="s">
        <v>209</v>
      </c>
      <c r="B26" t="s">
        <v>960</v>
      </c>
      <c r="C26" t="s">
        <v>961</v>
      </c>
      <c r="L26" t="s">
        <v>962</v>
      </c>
      <c r="AG26" t="s">
        <v>963</v>
      </c>
    </row>
    <row r="27" spans="1:36" x14ac:dyDescent="0.3">
      <c r="A27" t="s">
        <v>210</v>
      </c>
      <c r="F27" t="s">
        <v>964</v>
      </c>
      <c r="G27" t="s">
        <v>965</v>
      </c>
      <c r="L27" t="s">
        <v>966</v>
      </c>
      <c r="N27" t="s">
        <v>967</v>
      </c>
      <c r="U27" t="s">
        <v>968</v>
      </c>
      <c r="AA27" t="s">
        <v>969</v>
      </c>
      <c r="AE27" t="s">
        <v>970</v>
      </c>
      <c r="AI27" t="s">
        <v>971</v>
      </c>
    </row>
    <row r="28" spans="1:36" x14ac:dyDescent="0.3">
      <c r="A28" t="s">
        <v>211</v>
      </c>
      <c r="B28" t="s">
        <v>972</v>
      </c>
      <c r="C28" t="s">
        <v>973</v>
      </c>
      <c r="L28" t="s">
        <v>974</v>
      </c>
      <c r="AA28" t="s">
        <v>975</v>
      </c>
    </row>
    <row r="29" spans="1:36" x14ac:dyDescent="0.3">
      <c r="A29" t="s">
        <v>212</v>
      </c>
      <c r="E29" t="s">
        <v>976</v>
      </c>
      <c r="S29" t="s">
        <v>977</v>
      </c>
      <c r="V29" t="s">
        <v>978</v>
      </c>
      <c r="W29" t="s">
        <v>979</v>
      </c>
    </row>
    <row r="30" spans="1:36" x14ac:dyDescent="0.3">
      <c r="A30" t="s">
        <v>213</v>
      </c>
      <c r="F30" t="s">
        <v>980</v>
      </c>
      <c r="S30" t="s">
        <v>981</v>
      </c>
      <c r="U30" t="s">
        <v>982</v>
      </c>
    </row>
    <row r="31" spans="1:36" x14ac:dyDescent="0.3">
      <c r="A31" t="s">
        <v>214</v>
      </c>
      <c r="D31" t="s">
        <v>983</v>
      </c>
      <c r="O31" t="s">
        <v>984</v>
      </c>
      <c r="T31" t="s">
        <v>985</v>
      </c>
      <c r="AB31" t="s">
        <v>986</v>
      </c>
      <c r="AC31" t="s">
        <v>987</v>
      </c>
    </row>
    <row r="32" spans="1:36" x14ac:dyDescent="0.3">
      <c r="A32" t="s">
        <v>215</v>
      </c>
      <c r="E32" t="s">
        <v>988</v>
      </c>
      <c r="S32" t="s">
        <v>989</v>
      </c>
      <c r="W32" t="s">
        <v>990</v>
      </c>
      <c r="AJ32" t="s">
        <v>991</v>
      </c>
    </row>
    <row r="33" spans="1:37" x14ac:dyDescent="0.3">
      <c r="A33" t="s">
        <v>216</v>
      </c>
      <c r="F33" t="s">
        <v>992</v>
      </c>
      <c r="H33" t="s">
        <v>993</v>
      </c>
      <c r="U33" t="s">
        <v>994</v>
      </c>
      <c r="AD33" t="s">
        <v>995</v>
      </c>
      <c r="AI33" t="s">
        <v>996</v>
      </c>
    </row>
    <row r="34" spans="1:37" x14ac:dyDescent="0.3">
      <c r="A34" t="s">
        <v>217</v>
      </c>
      <c r="Q34" t="s">
        <v>997</v>
      </c>
      <c r="R34" t="s">
        <v>998</v>
      </c>
      <c r="X34" t="s">
        <v>999</v>
      </c>
      <c r="AH34" t="s">
        <v>1000</v>
      </c>
      <c r="AK34" t="s">
        <v>1001</v>
      </c>
    </row>
    <row r="35" spans="1:37" x14ac:dyDescent="0.3">
      <c r="A35" t="s">
        <v>218</v>
      </c>
      <c r="Q35" t="s">
        <v>1002</v>
      </c>
      <c r="R35" t="s">
        <v>1003</v>
      </c>
      <c r="X35" t="s">
        <v>1004</v>
      </c>
      <c r="AH35" t="s">
        <v>1005</v>
      </c>
      <c r="AK35" t="s">
        <v>1006</v>
      </c>
    </row>
    <row r="36" spans="1:37" x14ac:dyDescent="0.3">
      <c r="A36" t="s">
        <v>219</v>
      </c>
      <c r="B36" t="s">
        <v>1007</v>
      </c>
      <c r="C36" t="s">
        <v>1008</v>
      </c>
      <c r="L36" t="s">
        <v>1009</v>
      </c>
      <c r="AA36" t="s">
        <v>1010</v>
      </c>
    </row>
    <row r="37" spans="1:37" x14ac:dyDescent="0.3">
      <c r="A37" t="s">
        <v>220</v>
      </c>
      <c r="E37" t="s">
        <v>1011</v>
      </c>
      <c r="S37" t="s">
        <v>1012</v>
      </c>
      <c r="V37" t="s">
        <v>1013</v>
      </c>
      <c r="W37" t="s">
        <v>1014</v>
      </c>
    </row>
    <row r="38" spans="1:37" x14ac:dyDescent="0.3">
      <c r="A38" t="s">
        <v>221</v>
      </c>
      <c r="E38" t="s">
        <v>1015</v>
      </c>
      <c r="S38" t="s">
        <v>1016</v>
      </c>
      <c r="V38" t="s">
        <v>1017</v>
      </c>
      <c r="W38" t="s">
        <v>1018</v>
      </c>
    </row>
    <row r="39" spans="1:37" x14ac:dyDescent="0.3">
      <c r="A39" t="s">
        <v>222</v>
      </c>
      <c r="E39" t="s">
        <v>1019</v>
      </c>
      <c r="S39" t="s">
        <v>1020</v>
      </c>
      <c r="V39" t="s">
        <v>1021</v>
      </c>
      <c r="W39" t="s">
        <v>1022</v>
      </c>
    </row>
    <row r="40" spans="1:37" x14ac:dyDescent="0.3">
      <c r="A40" t="s">
        <v>223</v>
      </c>
      <c r="E40" t="s">
        <v>1023</v>
      </c>
      <c r="S40" t="s">
        <v>1024</v>
      </c>
      <c r="V40" t="s">
        <v>1025</v>
      </c>
      <c r="W40" t="s">
        <v>1026</v>
      </c>
    </row>
    <row r="41" spans="1:37" x14ac:dyDescent="0.3">
      <c r="A41" t="s">
        <v>224</v>
      </c>
      <c r="E41" t="s">
        <v>1027</v>
      </c>
      <c r="V41" t="s">
        <v>1028</v>
      </c>
      <c r="W41" t="s">
        <v>1029</v>
      </c>
    </row>
    <row r="42" spans="1:37" x14ac:dyDescent="0.3">
      <c r="A42" t="s">
        <v>225</v>
      </c>
      <c r="E42" t="s">
        <v>1030</v>
      </c>
      <c r="S42" t="s">
        <v>1031</v>
      </c>
      <c r="V42" t="s">
        <v>1032</v>
      </c>
      <c r="W42" t="s">
        <v>1033</v>
      </c>
    </row>
    <row r="43" spans="1:37" x14ac:dyDescent="0.3">
      <c r="A43" t="s">
        <v>226</v>
      </c>
      <c r="H43" t="s">
        <v>1034</v>
      </c>
      <c r="R43" t="s">
        <v>1035</v>
      </c>
      <c r="AD43" t="s">
        <v>1036</v>
      </c>
      <c r="AK43" t="s">
        <v>1037</v>
      </c>
    </row>
    <row r="44" spans="1:37" x14ac:dyDescent="0.3">
      <c r="A44" t="s">
        <v>227</v>
      </c>
      <c r="M44" t="s">
        <v>1038</v>
      </c>
      <c r="P44" t="s">
        <v>1039</v>
      </c>
      <c r="Y44" t="s">
        <v>1040</v>
      </c>
      <c r="Z44" t="s">
        <v>1041</v>
      </c>
    </row>
    <row r="45" spans="1:37" x14ac:dyDescent="0.3">
      <c r="A45" t="s">
        <v>228</v>
      </c>
      <c r="M45" t="s">
        <v>1042</v>
      </c>
      <c r="P45" t="s">
        <v>1043</v>
      </c>
      <c r="Y45" t="s">
        <v>1044</v>
      </c>
      <c r="Z45" t="s">
        <v>1045</v>
      </c>
    </row>
    <row r="46" spans="1:37" x14ac:dyDescent="0.3">
      <c r="A46" t="s">
        <v>229</v>
      </c>
      <c r="M46" t="s">
        <v>1046</v>
      </c>
      <c r="P46" t="s">
        <v>1047</v>
      </c>
      <c r="Y46" t="s">
        <v>1048</v>
      </c>
      <c r="Z46" t="s">
        <v>1049</v>
      </c>
    </row>
    <row r="47" spans="1:37" x14ac:dyDescent="0.3">
      <c r="A47" t="s">
        <v>230</v>
      </c>
      <c r="M47" t="s">
        <v>1050</v>
      </c>
      <c r="P47" t="s">
        <v>1051</v>
      </c>
      <c r="Y47" t="s">
        <v>1052</v>
      </c>
      <c r="Z47" t="s">
        <v>1053</v>
      </c>
    </row>
    <row r="48" spans="1:37" x14ac:dyDescent="0.3">
      <c r="A48" t="s">
        <v>231</v>
      </c>
      <c r="Q48" t="s">
        <v>1054</v>
      </c>
      <c r="X48" t="s">
        <v>1055</v>
      </c>
      <c r="AH48" t="s">
        <v>1056</v>
      </c>
      <c r="AK48" t="s">
        <v>1057</v>
      </c>
    </row>
    <row r="49" spans="1:38" x14ac:dyDescent="0.3">
      <c r="A49" t="s">
        <v>232</v>
      </c>
      <c r="S49" t="s">
        <v>1058</v>
      </c>
      <c r="V49" t="s">
        <v>1059</v>
      </c>
      <c r="AG49" t="s">
        <v>1060</v>
      </c>
      <c r="AL49" t="s">
        <v>1061</v>
      </c>
    </row>
    <row r="50" spans="1:38" x14ac:dyDescent="0.3">
      <c r="A50" t="s">
        <v>233</v>
      </c>
      <c r="E50" t="s">
        <v>1062</v>
      </c>
      <c r="V50" t="s">
        <v>1063</v>
      </c>
      <c r="W50" t="s">
        <v>1064</v>
      </c>
    </row>
    <row r="51" spans="1:38" x14ac:dyDescent="0.3">
      <c r="A51" t="s">
        <v>234</v>
      </c>
      <c r="F51" t="s">
        <v>1065</v>
      </c>
      <c r="U51" t="s">
        <v>1066</v>
      </c>
      <c r="AI51" t="s">
        <v>1067</v>
      </c>
    </row>
    <row r="52" spans="1:38" x14ac:dyDescent="0.3">
      <c r="A52" t="s">
        <v>235</v>
      </c>
      <c r="I52" t="s">
        <v>1068</v>
      </c>
      <c r="J52" t="s">
        <v>1069</v>
      </c>
    </row>
    <row r="53" spans="1:38" x14ac:dyDescent="0.3">
      <c r="A53" t="s">
        <v>236</v>
      </c>
      <c r="Q53" t="s">
        <v>1070</v>
      </c>
      <c r="R53" t="s">
        <v>1071</v>
      </c>
      <c r="AK53" t="s">
        <v>1072</v>
      </c>
    </row>
    <row r="54" spans="1:38" x14ac:dyDescent="0.3">
      <c r="A54" t="s">
        <v>237</v>
      </c>
      <c r="Q54" t="s">
        <v>1073</v>
      </c>
      <c r="R54" t="s">
        <v>1074</v>
      </c>
      <c r="AK54" t="s">
        <v>1075</v>
      </c>
    </row>
    <row r="55" spans="1:38" x14ac:dyDescent="0.3">
      <c r="A55" t="s">
        <v>238</v>
      </c>
      <c r="AL55" t="s">
        <v>1076</v>
      </c>
    </row>
    <row r="56" spans="1:38" x14ac:dyDescent="0.3">
      <c r="A56" t="s">
        <v>239</v>
      </c>
      <c r="B56" t="s">
        <v>1077</v>
      </c>
      <c r="C56" t="s">
        <v>1078</v>
      </c>
    </row>
    <row r="57" spans="1:38" x14ac:dyDescent="0.3">
      <c r="A57" t="s">
        <v>240</v>
      </c>
      <c r="B57" t="s">
        <v>1079</v>
      </c>
      <c r="C57" t="s">
        <v>1080</v>
      </c>
    </row>
    <row r="58" spans="1:38" x14ac:dyDescent="0.3">
      <c r="A58" t="s">
        <v>241</v>
      </c>
      <c r="B58" t="s">
        <v>1081</v>
      </c>
      <c r="C58" t="s">
        <v>1082</v>
      </c>
    </row>
    <row r="59" spans="1:38" x14ac:dyDescent="0.3">
      <c r="A59" t="s">
        <v>242</v>
      </c>
      <c r="B59" t="s">
        <v>1083</v>
      </c>
      <c r="C59" t="s">
        <v>1084</v>
      </c>
    </row>
    <row r="60" spans="1:38" x14ac:dyDescent="0.3">
      <c r="A60" t="s">
        <v>243</v>
      </c>
      <c r="B60" t="s">
        <v>1085</v>
      </c>
      <c r="C60" t="s">
        <v>1086</v>
      </c>
    </row>
    <row r="61" spans="1:38" x14ac:dyDescent="0.3">
      <c r="A61" t="s">
        <v>244</v>
      </c>
      <c r="B61" t="s">
        <v>1087</v>
      </c>
      <c r="C61" t="s">
        <v>1088</v>
      </c>
    </row>
    <row r="62" spans="1:38" x14ac:dyDescent="0.3">
      <c r="A62" t="s">
        <v>245</v>
      </c>
      <c r="B62" t="s">
        <v>1089</v>
      </c>
      <c r="C62" t="s">
        <v>1090</v>
      </c>
    </row>
    <row r="63" spans="1:38" x14ac:dyDescent="0.3">
      <c r="A63" t="s">
        <v>246</v>
      </c>
      <c r="E63" t="s">
        <v>1091</v>
      </c>
      <c r="V63" t="s">
        <v>1092</v>
      </c>
    </row>
    <row r="64" spans="1:38" x14ac:dyDescent="0.3">
      <c r="A64" t="s">
        <v>247</v>
      </c>
      <c r="F64" t="s">
        <v>1093</v>
      </c>
      <c r="U64" t="s">
        <v>1094</v>
      </c>
    </row>
    <row r="65" spans="1:31" x14ac:dyDescent="0.3">
      <c r="A65" t="s">
        <v>248</v>
      </c>
      <c r="F65" t="s">
        <v>1095</v>
      </c>
      <c r="U65" t="s">
        <v>1096</v>
      </c>
    </row>
    <row r="66" spans="1:31" x14ac:dyDescent="0.3">
      <c r="A66" t="s">
        <v>249</v>
      </c>
      <c r="F66" t="s">
        <v>1097</v>
      </c>
      <c r="U66" t="s">
        <v>1098</v>
      </c>
    </row>
    <row r="67" spans="1:31" x14ac:dyDescent="0.3">
      <c r="A67" t="s">
        <v>250</v>
      </c>
      <c r="F67" t="s">
        <v>1099</v>
      </c>
      <c r="U67" t="s">
        <v>1100</v>
      </c>
    </row>
    <row r="68" spans="1:31" x14ac:dyDescent="0.3">
      <c r="A68" t="s">
        <v>251</v>
      </c>
      <c r="F68" t="s">
        <v>1101</v>
      </c>
      <c r="U68" t="s">
        <v>1102</v>
      </c>
    </row>
    <row r="69" spans="1:31" x14ac:dyDescent="0.3">
      <c r="A69" t="s">
        <v>252</v>
      </c>
      <c r="F69" t="s">
        <v>1103</v>
      </c>
      <c r="U69" t="s">
        <v>1104</v>
      </c>
    </row>
    <row r="70" spans="1:31" x14ac:dyDescent="0.3">
      <c r="A70" t="s">
        <v>253</v>
      </c>
      <c r="F70" t="s">
        <v>1105</v>
      </c>
      <c r="U70" t="s">
        <v>1106</v>
      </c>
    </row>
    <row r="71" spans="1:31" x14ac:dyDescent="0.3">
      <c r="A71" t="s">
        <v>254</v>
      </c>
      <c r="G71" t="s">
        <v>1107</v>
      </c>
      <c r="AE71" t="s">
        <v>1108</v>
      </c>
    </row>
    <row r="72" spans="1:31" x14ac:dyDescent="0.3">
      <c r="A72" t="s">
        <v>255</v>
      </c>
      <c r="G72" t="s">
        <v>1109</v>
      </c>
      <c r="AE72" t="s">
        <v>1110</v>
      </c>
    </row>
    <row r="73" spans="1:31" x14ac:dyDescent="0.3">
      <c r="A73" t="s">
        <v>256</v>
      </c>
      <c r="G73" t="s">
        <v>1111</v>
      </c>
      <c r="AE73" t="s">
        <v>1112</v>
      </c>
    </row>
    <row r="74" spans="1:31" x14ac:dyDescent="0.3">
      <c r="A74" t="s">
        <v>257</v>
      </c>
      <c r="G74" t="s">
        <v>1113</v>
      </c>
      <c r="AE74" t="s">
        <v>1114</v>
      </c>
    </row>
    <row r="75" spans="1:31" x14ac:dyDescent="0.3">
      <c r="A75" t="s">
        <v>258</v>
      </c>
      <c r="I75" t="s">
        <v>1115</v>
      </c>
      <c r="J75" t="s">
        <v>1116</v>
      </c>
    </row>
    <row r="76" spans="1:31" x14ac:dyDescent="0.3">
      <c r="A76" t="s">
        <v>259</v>
      </c>
      <c r="K76" t="s">
        <v>1117</v>
      </c>
    </row>
    <row r="77" spans="1:31" x14ac:dyDescent="0.3">
      <c r="A77" t="s">
        <v>260</v>
      </c>
      <c r="L77" t="s">
        <v>1118</v>
      </c>
      <c r="N77" t="s">
        <v>1119</v>
      </c>
    </row>
    <row r="78" spans="1:31" x14ac:dyDescent="0.3">
      <c r="A78" t="s">
        <v>261</v>
      </c>
      <c r="M78" t="s">
        <v>1120</v>
      </c>
      <c r="P78" t="s">
        <v>1121</v>
      </c>
    </row>
    <row r="79" spans="1:31" x14ac:dyDescent="0.3">
      <c r="A79" t="s">
        <v>262</v>
      </c>
      <c r="M79" t="s">
        <v>1122</v>
      </c>
      <c r="P79" t="s">
        <v>1123</v>
      </c>
    </row>
    <row r="80" spans="1:31" x14ac:dyDescent="0.3">
      <c r="A80" t="s">
        <v>263</v>
      </c>
      <c r="M80" t="s">
        <v>1124</v>
      </c>
      <c r="P80" t="s">
        <v>1125</v>
      </c>
    </row>
    <row r="81" spans="1:37" x14ac:dyDescent="0.3">
      <c r="A81" t="s">
        <v>264</v>
      </c>
      <c r="M81" t="s">
        <v>1126</v>
      </c>
      <c r="Y81" t="s">
        <v>1127</v>
      </c>
    </row>
    <row r="82" spans="1:37" x14ac:dyDescent="0.3">
      <c r="A82" t="s">
        <v>265</v>
      </c>
      <c r="M82" t="s">
        <v>1128</v>
      </c>
      <c r="P82" t="s">
        <v>1129</v>
      </c>
    </row>
    <row r="83" spans="1:37" x14ac:dyDescent="0.3">
      <c r="A83" t="s">
        <v>266</v>
      </c>
      <c r="M83" t="s">
        <v>1130</v>
      </c>
      <c r="P83" t="s">
        <v>1131</v>
      </c>
    </row>
    <row r="84" spans="1:37" x14ac:dyDescent="0.3">
      <c r="A84" t="s">
        <v>267</v>
      </c>
      <c r="M84" t="s">
        <v>1132</v>
      </c>
      <c r="P84" t="s">
        <v>1133</v>
      </c>
    </row>
    <row r="85" spans="1:37" x14ac:dyDescent="0.3">
      <c r="A85" t="s">
        <v>268</v>
      </c>
      <c r="M85" t="s">
        <v>1134</v>
      </c>
      <c r="P85" t="s">
        <v>1135</v>
      </c>
    </row>
    <row r="86" spans="1:37" x14ac:dyDescent="0.3">
      <c r="A86" t="s">
        <v>269</v>
      </c>
      <c r="O86" t="s">
        <v>1136</v>
      </c>
      <c r="AC86" t="s">
        <v>1137</v>
      </c>
    </row>
    <row r="87" spans="1:37" x14ac:dyDescent="0.3">
      <c r="A87" t="s">
        <v>270</v>
      </c>
      <c r="Q87" t="s">
        <v>1138</v>
      </c>
      <c r="AK87" t="s">
        <v>1139</v>
      </c>
    </row>
    <row r="88" spans="1:37" x14ac:dyDescent="0.3">
      <c r="A88" t="s">
        <v>271</v>
      </c>
      <c r="T88" t="s">
        <v>1140</v>
      </c>
      <c r="AB88" t="s">
        <v>1141</v>
      </c>
    </row>
    <row r="89" spans="1:37" x14ac:dyDescent="0.3">
      <c r="A89" t="s">
        <v>272</v>
      </c>
      <c r="T89" t="s">
        <v>1142</v>
      </c>
      <c r="AB89" t="s">
        <v>1143</v>
      </c>
    </row>
    <row r="90" spans="1:37" x14ac:dyDescent="0.3">
      <c r="A90" t="s">
        <v>273</v>
      </c>
      <c r="V90" t="s">
        <v>1144</v>
      </c>
      <c r="W90" t="s">
        <v>1145</v>
      </c>
    </row>
    <row r="91" spans="1:37" x14ac:dyDescent="0.3">
      <c r="A91" t="s">
        <v>274</v>
      </c>
      <c r="X91" t="s">
        <v>1146</v>
      </c>
      <c r="AH91" t="s">
        <v>1147</v>
      </c>
    </row>
    <row r="92" spans="1:37" x14ac:dyDescent="0.3">
      <c r="A92" t="s">
        <v>275</v>
      </c>
      <c r="X92" t="s">
        <v>1148</v>
      </c>
      <c r="AH92" t="s">
        <v>1149</v>
      </c>
    </row>
    <row r="93" spans="1:37" x14ac:dyDescent="0.3">
      <c r="A93" t="s">
        <v>276</v>
      </c>
      <c r="Y93" t="s">
        <v>1150</v>
      </c>
      <c r="Z93" t="s">
        <v>1151</v>
      </c>
    </row>
    <row r="94" spans="1:37" x14ac:dyDescent="0.3">
      <c r="A94" t="s">
        <v>277</v>
      </c>
      <c r="Y94" t="s">
        <v>1152</v>
      </c>
      <c r="Z94" t="s">
        <v>1153</v>
      </c>
    </row>
    <row r="95" spans="1:37" x14ac:dyDescent="0.3">
      <c r="A95" t="s">
        <v>278</v>
      </c>
      <c r="Y95" t="s">
        <v>1154</v>
      </c>
      <c r="Z95" t="s">
        <v>1155</v>
      </c>
    </row>
    <row r="96" spans="1:37" x14ac:dyDescent="0.3">
      <c r="A96" t="s">
        <v>279</v>
      </c>
      <c r="Y96" t="s">
        <v>1156</v>
      </c>
      <c r="Z96" t="s">
        <v>1157</v>
      </c>
    </row>
    <row r="97" spans="1:38" x14ac:dyDescent="0.3">
      <c r="A97" t="s">
        <v>280</v>
      </c>
      <c r="Y97" t="s">
        <v>1158</v>
      </c>
      <c r="Z97" t="s">
        <v>1159</v>
      </c>
    </row>
    <row r="98" spans="1:38" x14ac:dyDescent="0.3">
      <c r="A98" t="s">
        <v>281</v>
      </c>
      <c r="Y98" t="s">
        <v>1160</v>
      </c>
      <c r="Z98" t="s">
        <v>1161</v>
      </c>
    </row>
    <row r="99" spans="1:38" x14ac:dyDescent="0.3">
      <c r="A99" t="s">
        <v>282</v>
      </c>
      <c r="Y99" t="s">
        <v>1162</v>
      </c>
      <c r="Z99" t="s">
        <v>1163</v>
      </c>
    </row>
    <row r="100" spans="1:38" x14ac:dyDescent="0.3">
      <c r="A100" t="s">
        <v>283</v>
      </c>
      <c r="Y100" t="s">
        <v>1164</v>
      </c>
      <c r="Z100" t="s">
        <v>1165</v>
      </c>
    </row>
    <row r="101" spans="1:38" x14ac:dyDescent="0.3">
      <c r="A101" t="s">
        <v>284</v>
      </c>
      <c r="AA101" t="s">
        <v>1166</v>
      </c>
      <c r="AG101" t="s">
        <v>1167</v>
      </c>
    </row>
    <row r="102" spans="1:38" x14ac:dyDescent="0.3">
      <c r="A102" t="s">
        <v>285</v>
      </c>
      <c r="AA102" t="s">
        <v>1168</v>
      </c>
      <c r="AG102" t="s">
        <v>1169</v>
      </c>
    </row>
    <row r="103" spans="1:38" x14ac:dyDescent="0.3">
      <c r="A103" t="s">
        <v>286</v>
      </c>
      <c r="AJ103" t="s">
        <v>1170</v>
      </c>
    </row>
    <row r="104" spans="1:38" x14ac:dyDescent="0.3">
      <c r="A104" t="s">
        <v>287</v>
      </c>
      <c r="AL104" t="s">
        <v>1171</v>
      </c>
    </row>
    <row r="105" spans="1:38" x14ac:dyDescent="0.3">
      <c r="A105" t="s">
        <v>288</v>
      </c>
      <c r="AL105" t="s">
        <v>1172</v>
      </c>
    </row>
    <row r="106" spans="1:38" x14ac:dyDescent="0.3">
      <c r="A106" t="s">
        <v>289</v>
      </c>
      <c r="AL106" t="s">
        <v>1173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2F568-56C6-4A14-8E1D-F90B95861B01}">
  <dimension ref="A1:A41"/>
  <sheetViews>
    <sheetView workbookViewId="0">
      <selection sqref="A1:A41"/>
    </sheetView>
  </sheetViews>
  <sheetFormatPr defaultRowHeight="14" x14ac:dyDescent="0.3"/>
  <sheetData>
    <row r="1" spans="1:1" x14ac:dyDescent="0.3">
      <c r="A1" t="s">
        <v>1696</v>
      </c>
    </row>
    <row r="2" spans="1:1" x14ac:dyDescent="0.3">
      <c r="A2" t="s">
        <v>1697</v>
      </c>
    </row>
    <row r="3" spans="1:1" x14ac:dyDescent="0.3">
      <c r="A3" t="s">
        <v>1698</v>
      </c>
    </row>
    <row r="4" spans="1:1" x14ac:dyDescent="0.3">
      <c r="A4" t="s">
        <v>1699</v>
      </c>
    </row>
    <row r="5" spans="1:1" x14ac:dyDescent="0.3">
      <c r="A5" t="s">
        <v>1700</v>
      </c>
    </row>
    <row r="6" spans="1:1" x14ac:dyDescent="0.3">
      <c r="A6" t="s">
        <v>1701</v>
      </c>
    </row>
    <row r="7" spans="1:1" x14ac:dyDescent="0.3">
      <c r="A7" t="s">
        <v>1702</v>
      </c>
    </row>
    <row r="8" spans="1:1" x14ac:dyDescent="0.3">
      <c r="A8" t="s">
        <v>1703</v>
      </c>
    </row>
    <row r="9" spans="1:1" x14ac:dyDescent="0.3">
      <c r="A9" t="s">
        <v>1704</v>
      </c>
    </row>
    <row r="10" spans="1:1" x14ac:dyDescent="0.3">
      <c r="A10" t="s">
        <v>1705</v>
      </c>
    </row>
    <row r="11" spans="1:1" x14ac:dyDescent="0.3">
      <c r="A11" t="s">
        <v>1706</v>
      </c>
    </row>
    <row r="12" spans="1:1" x14ac:dyDescent="0.3">
      <c r="A12" t="s">
        <v>1707</v>
      </c>
    </row>
    <row r="13" spans="1:1" x14ac:dyDescent="0.3">
      <c r="A13" t="s">
        <v>1708</v>
      </c>
    </row>
    <row r="14" spans="1:1" x14ac:dyDescent="0.3">
      <c r="A14" t="s">
        <v>1709</v>
      </c>
    </row>
    <row r="15" spans="1:1" x14ac:dyDescent="0.3">
      <c r="A15" t="s">
        <v>1710</v>
      </c>
    </row>
    <row r="16" spans="1:1" x14ac:dyDescent="0.3">
      <c r="A16" t="s">
        <v>1711</v>
      </c>
    </row>
    <row r="17" spans="1:1" x14ac:dyDescent="0.3">
      <c r="A17" t="s">
        <v>1712</v>
      </c>
    </row>
    <row r="18" spans="1:1" x14ac:dyDescent="0.3">
      <c r="A18" t="s">
        <v>1713</v>
      </c>
    </row>
    <row r="19" spans="1:1" x14ac:dyDescent="0.3">
      <c r="A19" t="s">
        <v>1714</v>
      </c>
    </row>
    <row r="20" spans="1:1" x14ac:dyDescent="0.3">
      <c r="A20" t="s">
        <v>1715</v>
      </c>
    </row>
    <row r="21" spans="1:1" x14ac:dyDescent="0.3">
      <c r="A21" t="s">
        <v>1716</v>
      </c>
    </row>
    <row r="22" spans="1:1" x14ac:dyDescent="0.3">
      <c r="A22" t="s">
        <v>1717</v>
      </c>
    </row>
    <row r="23" spans="1:1" x14ac:dyDescent="0.3">
      <c r="A23" t="s">
        <v>1718</v>
      </c>
    </row>
    <row r="24" spans="1:1" x14ac:dyDescent="0.3">
      <c r="A24" t="s">
        <v>1719</v>
      </c>
    </row>
    <row r="25" spans="1:1" x14ac:dyDescent="0.3">
      <c r="A25" t="s">
        <v>1720</v>
      </c>
    </row>
    <row r="26" spans="1:1" x14ac:dyDescent="0.3">
      <c r="A26" t="s">
        <v>1721</v>
      </c>
    </row>
    <row r="27" spans="1:1" x14ac:dyDescent="0.3">
      <c r="A27" t="s">
        <v>1722</v>
      </c>
    </row>
    <row r="28" spans="1:1" x14ac:dyDescent="0.3">
      <c r="A28" t="s">
        <v>1723</v>
      </c>
    </row>
    <row r="29" spans="1:1" x14ac:dyDescent="0.3">
      <c r="A29" t="s">
        <v>1724</v>
      </c>
    </row>
    <row r="30" spans="1:1" x14ac:dyDescent="0.3">
      <c r="A30" t="s">
        <v>1725</v>
      </c>
    </row>
    <row r="31" spans="1:1" x14ac:dyDescent="0.3">
      <c r="A31" t="s">
        <v>1726</v>
      </c>
    </row>
    <row r="32" spans="1:1" x14ac:dyDescent="0.3">
      <c r="A32" t="s">
        <v>1727</v>
      </c>
    </row>
    <row r="33" spans="1:1" x14ac:dyDescent="0.3">
      <c r="A33" t="s">
        <v>1728</v>
      </c>
    </row>
    <row r="34" spans="1:1" x14ac:dyDescent="0.3">
      <c r="A34" t="s">
        <v>1729</v>
      </c>
    </row>
    <row r="35" spans="1:1" x14ac:dyDescent="0.3">
      <c r="A35" t="s">
        <v>1730</v>
      </c>
    </row>
    <row r="36" spans="1:1" x14ac:dyDescent="0.3">
      <c r="A36" t="s">
        <v>1731</v>
      </c>
    </row>
    <row r="37" spans="1:1" x14ac:dyDescent="0.3">
      <c r="A37" t="s">
        <v>1732</v>
      </c>
    </row>
    <row r="38" spans="1:1" x14ac:dyDescent="0.3">
      <c r="A38" t="s">
        <v>1733</v>
      </c>
    </row>
    <row r="39" spans="1:1" x14ac:dyDescent="0.3">
      <c r="A39" t="s">
        <v>1734</v>
      </c>
    </row>
    <row r="40" spans="1:1" x14ac:dyDescent="0.3">
      <c r="A40" t="s">
        <v>1735</v>
      </c>
    </row>
    <row r="41" spans="1:1" x14ac:dyDescent="0.3">
      <c r="A41" t="s">
        <v>1736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8B04F-D21B-410C-9B64-8D974393F2C6}">
  <dimension ref="A1:A41"/>
  <sheetViews>
    <sheetView workbookViewId="0">
      <selection sqref="A1:A41"/>
    </sheetView>
  </sheetViews>
  <sheetFormatPr defaultRowHeight="14" x14ac:dyDescent="0.3"/>
  <sheetData>
    <row r="1" spans="1:1" x14ac:dyDescent="0.3">
      <c r="A1" t="s">
        <v>1737</v>
      </c>
    </row>
    <row r="2" spans="1:1" x14ac:dyDescent="0.3">
      <c r="A2" t="s">
        <v>1738</v>
      </c>
    </row>
    <row r="3" spans="1:1" x14ac:dyDescent="0.3">
      <c r="A3" t="s">
        <v>1739</v>
      </c>
    </row>
    <row r="4" spans="1:1" x14ac:dyDescent="0.3">
      <c r="A4" t="s">
        <v>1740</v>
      </c>
    </row>
    <row r="5" spans="1:1" x14ac:dyDescent="0.3">
      <c r="A5" t="s">
        <v>1741</v>
      </c>
    </row>
    <row r="6" spans="1:1" x14ac:dyDescent="0.3">
      <c r="A6" t="s">
        <v>1742</v>
      </c>
    </row>
    <row r="7" spans="1:1" x14ac:dyDescent="0.3">
      <c r="A7" t="s">
        <v>1743</v>
      </c>
    </row>
    <row r="8" spans="1:1" x14ac:dyDescent="0.3">
      <c r="A8" t="s">
        <v>1744</v>
      </c>
    </row>
    <row r="9" spans="1:1" x14ac:dyDescent="0.3">
      <c r="A9" t="s">
        <v>1745</v>
      </c>
    </row>
    <row r="10" spans="1:1" x14ac:dyDescent="0.3">
      <c r="A10" t="s">
        <v>1746</v>
      </c>
    </row>
    <row r="11" spans="1:1" x14ac:dyDescent="0.3">
      <c r="A11" t="s">
        <v>1747</v>
      </c>
    </row>
    <row r="12" spans="1:1" x14ac:dyDescent="0.3">
      <c r="A12" t="s">
        <v>1748</v>
      </c>
    </row>
    <row r="13" spans="1:1" x14ac:dyDescent="0.3">
      <c r="A13" t="s">
        <v>1749</v>
      </c>
    </row>
    <row r="14" spans="1:1" x14ac:dyDescent="0.3">
      <c r="A14" t="s">
        <v>1750</v>
      </c>
    </row>
    <row r="15" spans="1:1" x14ac:dyDescent="0.3">
      <c r="A15" t="s">
        <v>1751</v>
      </c>
    </row>
    <row r="16" spans="1:1" x14ac:dyDescent="0.3">
      <c r="A16" t="s">
        <v>1752</v>
      </c>
    </row>
    <row r="17" spans="1:1" x14ac:dyDescent="0.3">
      <c r="A17" t="s">
        <v>1753</v>
      </c>
    </row>
    <row r="18" spans="1:1" x14ac:dyDescent="0.3">
      <c r="A18" t="s">
        <v>1754</v>
      </c>
    </row>
    <row r="19" spans="1:1" x14ac:dyDescent="0.3">
      <c r="A19" t="s">
        <v>1755</v>
      </c>
    </row>
    <row r="20" spans="1:1" x14ac:dyDescent="0.3">
      <c r="A20" t="s">
        <v>1756</v>
      </c>
    </row>
    <row r="21" spans="1:1" x14ac:dyDescent="0.3">
      <c r="A21" t="s">
        <v>1757</v>
      </c>
    </row>
    <row r="22" spans="1:1" x14ac:dyDescent="0.3">
      <c r="A22" t="s">
        <v>1758</v>
      </c>
    </row>
    <row r="23" spans="1:1" x14ac:dyDescent="0.3">
      <c r="A23" t="s">
        <v>1759</v>
      </c>
    </row>
    <row r="24" spans="1:1" x14ac:dyDescent="0.3">
      <c r="A24" t="s">
        <v>1760</v>
      </c>
    </row>
    <row r="25" spans="1:1" x14ac:dyDescent="0.3">
      <c r="A25" t="s">
        <v>1761</v>
      </c>
    </row>
    <row r="26" spans="1:1" x14ac:dyDescent="0.3">
      <c r="A26" t="s">
        <v>1762</v>
      </c>
    </row>
    <row r="27" spans="1:1" x14ac:dyDescent="0.3">
      <c r="A27" t="s">
        <v>1763</v>
      </c>
    </row>
    <row r="28" spans="1:1" x14ac:dyDescent="0.3">
      <c r="A28" t="s">
        <v>1764</v>
      </c>
    </row>
    <row r="29" spans="1:1" x14ac:dyDescent="0.3">
      <c r="A29" t="s">
        <v>1765</v>
      </c>
    </row>
    <row r="30" spans="1:1" x14ac:dyDescent="0.3">
      <c r="A30" t="s">
        <v>1766</v>
      </c>
    </row>
    <row r="31" spans="1:1" x14ac:dyDescent="0.3">
      <c r="A31" t="s">
        <v>1767</v>
      </c>
    </row>
    <row r="32" spans="1:1" x14ac:dyDescent="0.3">
      <c r="A32" t="s">
        <v>1768</v>
      </c>
    </row>
    <row r="33" spans="1:1" x14ac:dyDescent="0.3">
      <c r="A33" t="s">
        <v>1769</v>
      </c>
    </row>
    <row r="34" spans="1:1" x14ac:dyDescent="0.3">
      <c r="A34" t="s">
        <v>1770</v>
      </c>
    </row>
    <row r="35" spans="1:1" x14ac:dyDescent="0.3">
      <c r="A35" t="s">
        <v>1771</v>
      </c>
    </row>
    <row r="36" spans="1:1" x14ac:dyDescent="0.3">
      <c r="A36" t="s">
        <v>1772</v>
      </c>
    </row>
    <row r="37" spans="1:1" x14ac:dyDescent="0.3">
      <c r="A37" t="s">
        <v>1773</v>
      </c>
    </row>
    <row r="38" spans="1:1" x14ac:dyDescent="0.3">
      <c r="A38" t="s">
        <v>1774</v>
      </c>
    </row>
    <row r="39" spans="1:1" x14ac:dyDescent="0.3">
      <c r="A39" t="s">
        <v>1775</v>
      </c>
    </row>
    <row r="40" spans="1:1" x14ac:dyDescent="0.3">
      <c r="A40" t="s">
        <v>1776</v>
      </c>
    </row>
    <row r="41" spans="1:1" x14ac:dyDescent="0.3">
      <c r="A41" t="s">
        <v>1777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14805-15D8-4862-A127-D9392854BACE}">
  <dimension ref="A1:B13"/>
  <sheetViews>
    <sheetView tabSelected="1" zoomScale="121" workbookViewId="0">
      <selection activeCell="H8" sqref="H8"/>
    </sheetView>
  </sheetViews>
  <sheetFormatPr defaultRowHeight="14" x14ac:dyDescent="0.3"/>
  <sheetData>
    <row r="1" spans="1:2" x14ac:dyDescent="0.3">
      <c r="A1" t="s">
        <v>1778</v>
      </c>
      <c r="B1" t="s">
        <v>1779</v>
      </c>
    </row>
    <row r="2" spans="1:2" x14ac:dyDescent="0.3">
      <c r="A2">
        <v>1.8979999999999999</v>
      </c>
      <c r="B2">
        <f>3/59</f>
        <v>5.0847457627118647E-2</v>
      </c>
    </row>
    <row r="3" spans="1:2" x14ac:dyDescent="0.3">
      <c r="A3">
        <v>1.488</v>
      </c>
      <c r="B3">
        <v>0</v>
      </c>
    </row>
    <row r="4" spans="1:2" x14ac:dyDescent="0.3">
      <c r="A4">
        <v>1.095</v>
      </c>
      <c r="B4">
        <f>5/71</f>
        <v>7.0422535211267609E-2</v>
      </c>
    </row>
    <row r="5" spans="1:2" x14ac:dyDescent="0.3">
      <c r="A5">
        <v>1.0309999999999999</v>
      </c>
      <c r="B5">
        <f>9/69</f>
        <v>0.13043478260869565</v>
      </c>
    </row>
    <row r="6" spans="1:2" x14ac:dyDescent="0.3">
      <c r="A6">
        <v>0.78900000000000003</v>
      </c>
      <c r="B6">
        <f>1/41</f>
        <v>2.4390243902439025E-2</v>
      </c>
    </row>
    <row r="7" spans="1:2" x14ac:dyDescent="0.3">
      <c r="A7">
        <v>0.78300000000000003</v>
      </c>
      <c r="B7">
        <f>16/69</f>
        <v>0.2318840579710145</v>
      </c>
    </row>
    <row r="8" spans="1:2" x14ac:dyDescent="0.3">
      <c r="A8">
        <v>0.751</v>
      </c>
      <c r="B8">
        <f>2/51</f>
        <v>3.9215686274509803E-2</v>
      </c>
    </row>
    <row r="9" spans="1:2" x14ac:dyDescent="0.3">
      <c r="A9">
        <v>0.75</v>
      </c>
      <c r="B9">
        <f>0/27</f>
        <v>0</v>
      </c>
    </row>
    <row r="10" spans="1:2" x14ac:dyDescent="0.3">
      <c r="A10">
        <v>0.73399999999999999</v>
      </c>
      <c r="B10">
        <f>2/57</f>
        <v>3.5087719298245612E-2</v>
      </c>
    </row>
    <row r="11" spans="1:2" x14ac:dyDescent="0.3">
      <c r="A11">
        <v>0.66100000000000003</v>
      </c>
      <c r="B11">
        <v>0</v>
      </c>
    </row>
    <row r="12" spans="1:2" x14ac:dyDescent="0.3">
      <c r="A12">
        <v>0.54800000000000004</v>
      </c>
      <c r="B12">
        <f>3/59</f>
        <v>5.0847457627118647E-2</v>
      </c>
    </row>
    <row r="13" spans="1:2" x14ac:dyDescent="0.3">
      <c r="A13">
        <v>0.47099999999999997</v>
      </c>
      <c r="B13">
        <f>19/65</f>
        <v>0.29230769230769232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1_Genbank_Accessions</vt:lpstr>
      <vt:lpstr>2_Clean_Genbank_Table</vt:lpstr>
      <vt:lpstr>3_Coverage_8054_8158</vt:lpstr>
      <vt:lpstr>3_Orthogroups_Genecount_Clades</vt:lpstr>
      <vt:lpstr>4_All_Blasted_Orthogroups</vt:lpstr>
      <vt:lpstr>5_8054_8158_Orthogroups_Blast</vt:lpstr>
      <vt:lpstr>6_First_23_Orthogroups</vt:lpstr>
      <vt:lpstr>7_Partition_Specific_Values</vt:lpstr>
      <vt:lpstr>8_Orthogroups_Genecount Raw</vt:lpstr>
      <vt:lpstr>9_Orthogroups_Raw</vt:lpstr>
      <vt:lpstr>10_Snp_Differences_8054</vt:lpstr>
      <vt:lpstr>11_Snp_Differences_8158</vt:lpstr>
      <vt:lpstr>R2_Values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Cleo Falvey</dc:creator>
  <cp:lastModifiedBy>Cleo Falvey</cp:lastModifiedBy>
  <dcterms:created xsi:type="dcterms:W3CDTF">2026-05-04T15:38:50Z</dcterms:created>
  <dcterms:modified xsi:type="dcterms:W3CDTF">2026-08-27T03:29:40Z</dcterms:modified>
</cp:coreProperties>
</file>